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3260" windowHeight="14860" tabRatio="500" firstSheet="6" activeTab="10" autoFilterDateGrouping="1"/>
  </bookViews>
  <sheets>
    <sheet xmlns:r="http://schemas.openxmlformats.org/officeDocument/2006/relationships" name="前提" sheetId="1" state="visible" r:id="rId1"/>
    <sheet xmlns:r="http://schemas.openxmlformats.org/officeDocument/2006/relationships" name="Year1_月次" sheetId="2" state="visible" r:id="rId2"/>
    <sheet xmlns:r="http://schemas.openxmlformats.org/officeDocument/2006/relationships" name="3年_四半期" sheetId="3" state="visible" r:id="rId3"/>
    <sheet xmlns:r="http://schemas.openxmlformats.org/officeDocument/2006/relationships" name="読み方" sheetId="4" state="visible" r:id="rId4"/>
    <sheet xmlns:r="http://schemas.openxmlformats.org/officeDocument/2006/relationships" name="PL_損益_Y1" sheetId="5" state="visible" r:id="rId5"/>
    <sheet xmlns:r="http://schemas.openxmlformats.org/officeDocument/2006/relationships" name="CF_現金_Y1" sheetId="6" state="visible" r:id="rId6"/>
    <sheet xmlns:r="http://schemas.openxmlformats.org/officeDocument/2006/relationships" name="営業ファネル_Y1" sheetId="7" state="visible" r:id="rId7"/>
    <sheet xmlns:r="http://schemas.openxmlformats.org/officeDocument/2006/relationships" name="個人サバイバル" sheetId="8" state="visible" r:id="rId8"/>
    <sheet xmlns:r="http://schemas.openxmlformats.org/officeDocument/2006/relationships" name="PL_3年" sheetId="9" state="visible" r:id="rId9"/>
    <sheet xmlns:r="http://schemas.openxmlformats.org/officeDocument/2006/relationships" name="BS_Y1末" sheetId="10" state="visible" r:id="rId10"/>
    <sheet xmlns:r="http://schemas.openxmlformats.org/officeDocument/2006/relationships" name="感度_伴走" sheetId="11" state="visible" r:id="rId1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0">
    <numFmt numFmtId="164" formatCode="#,##0&quot;円&quot;;\(#,##0&quot;円)&quot;;\-"/>
    <numFmt numFmtId="165" formatCode="0&quot;社&quot;"/>
    <numFmt numFmtId="166" formatCode="0.0%"/>
    <numFmt numFmtId="167" formatCode="0&quot;分&quot;"/>
    <numFmt numFmtId="168" formatCode="0;\-;\-"/>
    <numFmt numFmtId="169" formatCode="#,##0;\(#,##0\);\-"/>
    <numFmt numFmtId="170" formatCode="0.0;\-;\-"/>
    <numFmt numFmtId="171" formatCode="0.0"/>
    <numFmt numFmtId="172" formatCode="0.0\h"/>
    <numFmt numFmtId="173" formatCode="0.0&quot;ヶ月&quot;"/>
  </numFmts>
  <fonts count="28">
    <font>
      <name val="Calibri"/>
      <charset val="1"/>
      <family val="2"/>
      <color theme="1"/>
      <sz val="11"/>
    </font>
    <font>
      <name val="Noto Sans CJK SC"/>
      <charset val="1"/>
      <family val="2"/>
      <b val="1"/>
      <color rgb="FF1D2A2E"/>
      <sz val="14"/>
    </font>
    <font>
      <name val="Noto Sans CJK SC"/>
      <charset val="1"/>
      <family val="2"/>
      <i val="1"/>
      <color rgb="FF54656B"/>
      <sz val="9"/>
    </font>
    <font>
      <name val="Noto Sans CJK SC"/>
      <charset val="1"/>
      <family val="2"/>
      <b val="1"/>
      <color rgb="FFFFFFFF"/>
      <sz val="10"/>
    </font>
    <font>
      <name val="Noto Sans CJK SC"/>
      <charset val="1"/>
      <family val="2"/>
      <color rgb="FF000000"/>
      <sz val="10"/>
    </font>
    <font>
      <name val="Arial"/>
      <family val="2"/>
      <color rgb="FF0000FF"/>
      <sz val="10"/>
    </font>
    <font>
      <name val="Arial"/>
      <family val="2"/>
      <color rgb="FF000000"/>
      <sz val="10"/>
    </font>
    <font>
      <name val="Arial"/>
      <family val="2"/>
      <i val="1"/>
      <color rgb="FF54656B"/>
      <sz val="9"/>
    </font>
    <font>
      <name val="Noto Sans CJK SC"/>
      <family val="2"/>
      <i val="1"/>
      <color rgb="FF54656B"/>
      <sz val="9"/>
    </font>
    <font>
      <name val="Noto Sans CJK SC"/>
      <family val="2"/>
      <b val="1"/>
      <color rgb="FFFFFFFF"/>
      <sz val="10"/>
    </font>
    <font>
      <name val="Noto Sans CJK SC"/>
      <family val="2"/>
      <color rgb="FF000000"/>
      <sz val="10"/>
    </font>
    <font>
      <name val="Arial"/>
      <family val="2"/>
      <b val="1"/>
      <color rgb="FF1D2A2E"/>
      <sz val="14"/>
    </font>
    <font>
      <name val="Noto Sans CJK SC"/>
      <family val="2"/>
      <b val="1"/>
      <color rgb="FF1D2A2E"/>
      <sz val="14"/>
    </font>
    <font>
      <name val="Arial"/>
      <family val="2"/>
      <b val="1"/>
      <color rgb="FFFFFFFF"/>
      <sz val="10"/>
    </font>
    <font>
      <name val="Noto Sans CJK SC"/>
      <charset val="1"/>
      <family val="2"/>
      <b val="1"/>
      <sz val="10"/>
    </font>
    <font>
      <name val="Arial"/>
      <family val="2"/>
      <b val="1"/>
      <sz val="10"/>
    </font>
    <font>
      <name val="Arial"/>
      <family val="2"/>
      <color rgb="FF008000"/>
      <sz val="10"/>
    </font>
    <font>
      <name val="Arial"/>
      <family val="2"/>
      <b val="1"/>
      <color rgb="FFC2452D"/>
      <sz val="10"/>
    </font>
    <font>
      <name val="Arial"/>
      <family val="2"/>
      <color rgb="FF1D2A2E"/>
      <sz val="10"/>
    </font>
    <font>
      <name val="Noto Sans CJK SC"/>
      <charset val="1"/>
      <family val="2"/>
      <color rgb="FF1D2A2E"/>
      <sz val="10"/>
    </font>
    <font>
      <name val="Noto Sans CJK SC"/>
      <charset val="1"/>
      <family val="2"/>
      <b val="1"/>
      <color rgb="FFC2452D"/>
      <sz val="10"/>
    </font>
    <font>
      <name val="Noto Sans CJK SC"/>
      <family val="2"/>
      <b val="1"/>
      <sz val="10"/>
    </font>
    <font>
      <name val="Noto Sans CJK SC"/>
      <family val="2"/>
      <color rgb="FF1D2A2E"/>
      <sz val="10"/>
    </font>
    <font>
      <name val="Calibri"/>
      <family val="2"/>
      <b val="1"/>
      <sz val="12"/>
    </font>
    <font>
      <name val="Calibri"/>
      <family val="2"/>
      <b val="1"/>
      <sz val="11"/>
    </font>
    <font>
      <name val="ＭＳ Ｐゴシック"/>
      <charset val="128"/>
      <family val="3"/>
      <sz val="6"/>
    </font>
    <font>
      <b val="1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FF27559B"/>
        <bgColor rgb="FF0066CC"/>
      </patternFill>
    </fill>
    <fill>
      <patternFill patternType="solid">
        <fgColor rgb="FFFFF6CC"/>
        <bgColor rgb="FFF2F4F3"/>
      </patternFill>
    </fill>
    <fill>
      <patternFill patternType="solid">
        <fgColor rgb="FFFFFFFF"/>
        <bgColor rgb="FFF2F4F3"/>
      </patternFill>
    </fill>
    <fill>
      <patternFill patternType="solid">
        <fgColor rgb="FFF2F4F3"/>
        <bgColor rgb="FFE6EDF7"/>
      </patternFill>
    </fill>
    <fill>
      <patternFill patternType="solid">
        <fgColor rgb="FFE6EDF7"/>
        <bgColor rgb="FFF2F4F3"/>
      </patternFill>
    </fill>
    <fill>
      <patternFill patternType="solid">
        <fgColor rgb="FFF7E3DE"/>
        <bgColor rgb="FFE6EDF7"/>
      </patternFill>
    </fill>
    <fill>
      <patternFill patternType="solid">
        <fgColor rgb="FFFFF2CC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FFB9C5C4"/>
      </left>
      <right style="thin">
        <color rgb="FFB9C5C4"/>
      </right>
      <top style="thin">
        <color rgb="FFB9C5C4"/>
      </top>
      <bottom style="thin">
        <color rgb="FFB9C5C4"/>
      </bottom>
      <diagonal/>
    </border>
  </borders>
  <cellStyleXfs count="1">
    <xf numFmtId="0" fontId="0" fillId="0" borderId="0"/>
  </cellStyleXfs>
  <cellXfs count="10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166" fontId="5" fillId="3" borderId="1" applyAlignment="1" pivotButton="0" quotePrefix="0" xfId="0">
      <alignment horizontal="right" vertical="center"/>
    </xf>
    <xf numFmtId="0" fontId="9" fillId="2" borderId="1" pivotButton="0" quotePrefix="0" xfId="0"/>
    <xf numFmtId="0" fontId="10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167" fontId="5" fillId="3" borderId="1" applyAlignment="1" pivotButton="0" quotePrefix="0" xfId="0">
      <alignment horizontal="right" vertical="center"/>
    </xf>
    <xf numFmtId="0" fontId="11" fillId="0" borderId="0" pivotButton="0" quotePrefix="0" xfId="0"/>
    <xf numFmtId="0" fontId="13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168" fontId="5" fillId="3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 wrapText="1"/>
    </xf>
    <xf numFmtId="169" fontId="15" fillId="0" borderId="1" applyAlignment="1" pivotButton="0" quotePrefix="0" xfId="0">
      <alignment horizontal="right" vertical="center"/>
    </xf>
    <xf numFmtId="169" fontId="16" fillId="0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14" fillId="0" borderId="0" pivotButton="0" quotePrefix="0" xfId="0"/>
    <xf numFmtId="164" fontId="15" fillId="6" borderId="0" pivotButton="0" quotePrefix="0" xfId="0"/>
    <xf numFmtId="164" fontId="15" fillId="7" borderId="0" pivotButton="0" quotePrefix="0" xfId="0"/>
    <xf numFmtId="164" fontId="17" fillId="7" borderId="0" pivotButton="0" quotePrefix="0" xfId="0"/>
    <xf numFmtId="170" fontId="5" fillId="3" borderId="1" applyAlignment="1" pivotButton="0" quotePrefix="0" xfId="0">
      <alignment horizontal="center" vertical="center"/>
    </xf>
    <xf numFmtId="0" fontId="14" fillId="0" borderId="1" pivotButton="0" quotePrefix="0" xfId="0"/>
    <xf numFmtId="164" fontId="15" fillId="6" borderId="1" applyAlignment="1" pivotButton="0" quotePrefix="0" xfId="0">
      <alignment horizontal="right" vertical="center"/>
    </xf>
    <xf numFmtId="164" fontId="15" fillId="6" borderId="1" applyAlignment="1" pivotButton="0" quotePrefix="0" xfId="0">
      <alignment horizontal="right"/>
    </xf>
    <xf numFmtId="0" fontId="18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right" vertical="center"/>
    </xf>
    <xf numFmtId="0" fontId="14" fillId="5" borderId="1" applyAlignment="1" pivotButton="0" quotePrefix="0" xfId="0">
      <alignment horizontal="left" vertical="center" wrapText="1"/>
    </xf>
    <xf numFmtId="164" fontId="15" fillId="7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  <xf numFmtId="164" fontId="15" fillId="5" borderId="1" applyAlignment="1" pivotButton="0" quotePrefix="0" xfId="0">
      <alignment horizontal="right" vertical="center"/>
    </xf>
    <xf numFmtId="164" fontId="17" fillId="7" borderId="1" applyAlignment="1" pivotButton="0" quotePrefix="0" xfId="0">
      <alignment horizontal="right" vertical="center"/>
    </xf>
    <xf numFmtId="169" fontId="6" fillId="0" borderId="1" applyAlignment="1" pivotButton="0" quotePrefix="0" xfId="0">
      <alignment horizontal="right" vertical="center"/>
    </xf>
    <xf numFmtId="0" fontId="20" fillId="7" borderId="1" applyAlignment="1" pivotButton="0" quotePrefix="0" xfId="0">
      <alignment horizontal="left" vertical="center" wrapText="1"/>
    </xf>
    <xf numFmtId="169" fontId="17" fillId="0" borderId="1" applyAlignment="1" pivotButton="0" quotePrefix="0" xfId="0">
      <alignment horizontal="right" vertical="center"/>
    </xf>
    <xf numFmtId="164" fontId="15" fillId="5" borderId="0" pivotButton="0" quotePrefix="0" xfId="0"/>
    <xf numFmtId="0" fontId="8" fillId="0" borderId="0" pivotButton="0" quotePrefix="0" xfId="0"/>
    <xf numFmtId="0" fontId="21" fillId="6" borderId="1" applyAlignment="1" pivotButton="0" quotePrefix="0" xfId="0">
      <alignment horizontal="left" vertical="center" wrapText="1"/>
    </xf>
    <xf numFmtId="1" fontId="16" fillId="0" borderId="1" applyAlignment="1" pivotButton="0" quotePrefix="0" xfId="0">
      <alignment horizontal="right" vertical="center"/>
    </xf>
    <xf numFmtId="171" fontId="6" fillId="0" borderId="1" applyAlignment="1" pivotButton="0" quotePrefix="0" xfId="0">
      <alignment horizontal="right" vertical="center"/>
    </xf>
    <xf numFmtId="0" fontId="21" fillId="7" borderId="1" applyAlignment="1" pivotButton="0" quotePrefix="0" xfId="0">
      <alignment horizontal="left" vertical="center" wrapText="1"/>
    </xf>
    <xf numFmtId="171" fontId="15" fillId="0" borderId="1" applyAlignment="1" pivotButton="0" quotePrefix="0" xfId="0">
      <alignment horizontal="right" vertical="center"/>
    </xf>
    <xf numFmtId="0" fontId="21" fillId="5" borderId="1" applyAlignment="1" pivotButton="0" quotePrefix="0" xfId="0">
      <alignment horizontal="left" vertical="center" wrapText="1"/>
    </xf>
    <xf numFmtId="0" fontId="21" fillId="0" borderId="0" pivotButton="0" quotePrefix="0" xfId="0"/>
    <xf numFmtId="1" fontId="15" fillId="7" borderId="0" pivotButton="0" quotePrefix="0" xfId="0"/>
    <xf numFmtId="172" fontId="15" fillId="5" borderId="0" pivotButton="0" quotePrefix="0" xfId="0"/>
    <xf numFmtId="0" fontId="12" fillId="0" borderId="0" pivotButton="0" quotePrefix="0" xfId="0"/>
    <xf numFmtId="164" fontId="16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21" fillId="0" borderId="1" applyAlignment="1" pivotButton="0" quotePrefix="0" xfId="0">
      <alignment horizontal="left" vertical="center" wrapText="1"/>
    </xf>
    <xf numFmtId="173" fontId="17" fillId="7" borderId="1" applyAlignment="1" pivotButton="0" quotePrefix="0" xfId="0">
      <alignment horizontal="right" vertical="center"/>
    </xf>
    <xf numFmtId="0" fontId="22" fillId="0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23" fillId="0" borderId="0" pivotButton="0" quotePrefix="0" xfId="0"/>
    <xf numFmtId="0" fontId="24" fillId="0" borderId="0" pivotButton="0" quotePrefix="0" xfId="0"/>
    <xf numFmtId="3" fontId="0" fillId="0" borderId="0" pivotButton="0" quotePrefix="0" xfId="0"/>
    <xf numFmtId="3" fontId="24" fillId="0" borderId="0" pivotButton="0" quotePrefix="0" xfId="0"/>
    <xf numFmtId="3" fontId="0" fillId="8" borderId="0" pivotButton="0" quotePrefix="0" xfId="0"/>
    <xf numFmtId="164" fontId="5" fillId="3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167" fontId="5" fillId="3" borderId="1" applyAlignment="1" pivotButton="0" quotePrefix="0" xfId="0">
      <alignment horizontal="right" vertical="center"/>
    </xf>
    <xf numFmtId="0" fontId="26" fillId="0" borderId="0" pivotButton="0" quotePrefix="0" xfId="0"/>
    <xf numFmtId="3" fontId="0" fillId="9" borderId="0" pivotButton="0" quotePrefix="0" xfId="0"/>
    <xf numFmtId="3" fontId="26" fillId="0" borderId="0" pivotButton="0" quotePrefix="0" xfId="0"/>
    <xf numFmtId="168" fontId="5" fillId="3" borderId="1" applyAlignment="1" pivotButton="0" quotePrefix="0" xfId="0">
      <alignment horizontal="center" vertical="center"/>
    </xf>
    <xf numFmtId="169" fontId="15" fillId="0" borderId="1" applyAlignment="1" pivotButton="0" quotePrefix="0" xfId="0">
      <alignment horizontal="right" vertical="center"/>
    </xf>
    <xf numFmtId="169" fontId="16" fillId="0" borderId="1" applyAlignment="1" pivotButton="0" quotePrefix="0" xfId="0">
      <alignment horizontal="right" vertical="center"/>
    </xf>
    <xf numFmtId="164" fontId="15" fillId="6" borderId="0" pivotButton="0" quotePrefix="0" xfId="0"/>
    <xf numFmtId="164" fontId="15" fillId="7" borderId="0" pivotButton="0" quotePrefix="0" xfId="0"/>
    <xf numFmtId="164" fontId="17" fillId="7" borderId="0" pivotButton="0" quotePrefix="0" xfId="0"/>
    <xf numFmtId="170" fontId="5" fillId="3" borderId="1" applyAlignment="1" pivotButton="0" quotePrefix="0" xfId="0">
      <alignment horizontal="center" vertical="center"/>
    </xf>
    <xf numFmtId="164" fontId="15" fillId="6" borderId="1" applyAlignment="1" pivotButton="0" quotePrefix="0" xfId="0">
      <alignment horizontal="right" vertical="center"/>
    </xf>
    <xf numFmtId="164" fontId="15" fillId="6" borderId="1" applyAlignment="1" pivotButton="0" quotePrefix="0" xfId="0">
      <alignment horizontal="right"/>
    </xf>
    <xf numFmtId="164" fontId="15" fillId="0" borderId="1" applyAlignment="1" pivotButton="0" quotePrefix="0" xfId="0">
      <alignment horizontal="right" vertical="center"/>
    </xf>
    <xf numFmtId="164" fontId="15" fillId="7" borderId="1" applyAlignment="1" pivotButton="0" quotePrefix="0" xfId="0">
      <alignment horizontal="right" vertical="center"/>
    </xf>
    <xf numFmtId="164" fontId="15" fillId="5" borderId="1" applyAlignment="1" pivotButton="0" quotePrefix="0" xfId="0">
      <alignment horizontal="right" vertical="center"/>
    </xf>
    <xf numFmtId="164" fontId="17" fillId="7" borderId="1" applyAlignment="1" pivotButton="0" quotePrefix="0" xfId="0">
      <alignment horizontal="right" vertical="center"/>
    </xf>
    <xf numFmtId="169" fontId="6" fillId="0" borderId="1" applyAlignment="1" pivotButton="0" quotePrefix="0" xfId="0">
      <alignment horizontal="right" vertical="center"/>
    </xf>
    <xf numFmtId="169" fontId="17" fillId="0" borderId="1" applyAlignment="1" pivotButton="0" quotePrefix="0" xfId="0">
      <alignment horizontal="right" vertical="center"/>
    </xf>
    <xf numFmtId="164" fontId="15" fillId="5" borderId="0" pivotButton="0" quotePrefix="0" xfId="0"/>
    <xf numFmtId="171" fontId="6" fillId="0" borderId="1" applyAlignment="1" pivotButton="0" quotePrefix="0" xfId="0">
      <alignment horizontal="right" vertical="center"/>
    </xf>
    <xf numFmtId="171" fontId="15" fillId="0" borderId="1" applyAlignment="1" pivotButton="0" quotePrefix="0" xfId="0">
      <alignment horizontal="right" vertical="center"/>
    </xf>
    <xf numFmtId="172" fontId="15" fillId="5" borderId="0" pivotButton="0" quotePrefix="0" xfId="0"/>
    <xf numFmtId="164" fontId="16" fillId="0" borderId="1" applyAlignment="1" pivotButton="0" quotePrefix="0" xfId="0">
      <alignment horizontal="right" vertical="center"/>
    </xf>
    <xf numFmtId="173" fontId="17" fillId="7" borderId="1" applyAlignment="1" pivotButton="0" quotePrefix="0" xfId="0">
      <alignment horizontal="right" vertical="center"/>
    </xf>
    <xf numFmtId="3" fontId="26" fillId="9" borderId="0" pivotButton="0" quotePrefix="0" xfId="0"/>
    <xf numFmtId="171" fontId="0" fillId="0" borderId="0" pivotButton="0" quotePrefix="0" xfId="0"/>
    <xf numFmtId="0" fontId="27" fillId="0" borderId="0" pivotButton="0" quotePrefix="0" xfId="0"/>
    <xf numFmtId="3" fontId="26" fillId="10" borderId="0" pivotButton="0" quotePrefix="0" xfId="0"/>
    <xf numFmtId="3" fontId="24" fillId="9" borderId="0" pivotButton="0" quotePrefix="0" xfId="0"/>
    <xf numFmtId="3" fontId="0" fillId="1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5C4"/>
      <rgbColor rgb="FF808080"/>
      <rgbColor rgb="FF9999FF"/>
      <rgbColor rgb="FF993366"/>
      <rgbColor rgb="FFFFF6CC"/>
      <rgbColor rgb="FFE6ED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3"/>
      <rgbColor rgb="FFCCFFCC"/>
      <rgbColor rgb="FFFFFF99"/>
      <rgbColor rgb="FF99CCFF"/>
      <rgbColor rgb="FFFF99CC"/>
      <rgbColor rgb="FFCC99FF"/>
      <rgbColor rgb="FFF7E3DE"/>
      <rgbColor rgb="FF3366FF"/>
      <rgbColor rgb="FF33CCCC"/>
      <rgbColor rgb="FF99CC00"/>
      <rgbColor rgb="FFFFCC00"/>
      <rgbColor rgb="FFFF9900"/>
      <rgbColor rgb="FFFF6600"/>
      <rgbColor rgb="FF54656B"/>
      <rgbColor rgb="FF969696"/>
      <rgbColor rgb="FF003366"/>
      <rgbColor rgb="FF339966"/>
      <rgbColor rgb="FF003300"/>
      <rgbColor rgb="FF333300"/>
      <rgbColor rgb="FFC2452D"/>
      <rgbColor rgb="FF993366"/>
      <rgbColor rgb="FF27559B"/>
      <rgbColor rgb="FF1D2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55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3" customWidth="1" min="1" max="1"/>
    <col width="34" customWidth="1" min="2" max="2"/>
    <col width="16" customWidth="1" min="3" max="3"/>
    <col width="44" customWidth="1" min="4" max="4"/>
  </cols>
  <sheetData>
    <row r="2" ht="21.75" customHeight="1">
      <c r="B2" s="1" t="inlineStr">
        <is>
          <t>伴走事業 — 経営シミュレーション</t>
        </is>
      </c>
    </row>
    <row r="3" ht="15" customHeight="1">
      <c r="B3" s="2" t="inlineStr">
        <is>
          <t>前提（青い数字を打ち替えると、全シートが自動で再計算されます）</t>
        </is>
      </c>
    </row>
    <row r="5" ht="15" customHeight="1">
      <c r="B5" s="3" t="inlineStr">
        <is>
          <t>① 滑走路とコスト</t>
        </is>
      </c>
      <c r="C5" s="3" t="n"/>
      <c r="D5" s="3" t="n"/>
    </row>
    <row r="6" ht="15" customHeight="1">
      <c r="B6" s="4" t="inlineStr">
        <is>
          <t>初期キャッシュ（滑走路）</t>
        </is>
      </c>
      <c r="C6" s="70" t="n">
        <v>2000000</v>
      </c>
      <c r="D6" s="6" t="inlineStr">
        <is>
          <t>海外資金の引き出し。月50万×4ヶ月分</t>
        </is>
      </c>
    </row>
    <row r="7" ht="15" customHeight="1">
      <c r="B7" s="4" t="inlineStr">
        <is>
          <t>会社の月次固定費（損益分岐）</t>
        </is>
      </c>
      <c r="C7" s="71">
        <f>C20+C21+C22</f>
        <v/>
      </c>
      <c r="D7" s="6" t="inlineStr">
        <is>
          <t>役員報酬+社保+販管費の自動計算。これを総売上が超えれば会社は黒字</t>
        </is>
      </c>
    </row>
    <row r="8" ht="15" customHeight="1">
      <c r="B8" s="4" t="inlineStr">
        <is>
          <t>既存受託（月・当面継続）</t>
        </is>
      </c>
      <c r="C8" s="70" t="n">
        <v>400000</v>
      </c>
      <c r="D8" s="6" t="inlineStr">
        <is>
          <t>立ち上げ期の土台。新事業が育つまでの足場</t>
        </is>
      </c>
    </row>
    <row r="10" ht="15" customHeight="1">
      <c r="B10" s="3" t="inlineStr">
        <is>
          <t>② 商品単価</t>
        </is>
      </c>
      <c r="C10" s="3" t="n"/>
      <c r="D10" s="3" t="n"/>
    </row>
    <row r="11" ht="15" customHeight="1">
      <c r="B11" s="4" t="inlineStr">
        <is>
          <t>構造診断・立ち上げ価格</t>
        </is>
      </c>
      <c r="C11" s="70" t="n">
        <v>100000</v>
      </c>
      <c r="D11" s="6" t="inlineStr">
        <is>
          <t>先着5社の実績協力価格（通常30万）</t>
        </is>
      </c>
    </row>
    <row r="12" ht="15" customHeight="1">
      <c r="B12" s="4" t="inlineStr">
        <is>
          <t>構造診断・通常価格</t>
        </is>
      </c>
      <c r="C12" s="70" t="n">
        <v>300000</v>
      </c>
      <c r="D12" s="6" t="inlineStr">
        <is>
          <t>竹（標準）。松は50万〜</t>
        </is>
      </c>
    </row>
    <row r="13" ht="15" customHeight="1">
      <c r="B13" s="4" t="inlineStr">
        <is>
          <t>濃い伴走（月額・1社）</t>
        </is>
      </c>
      <c r="C13" s="70" t="n">
        <v>750000</v>
      </c>
      <c r="D13" s="6" t="inlineStr">
        <is>
          <t>週2日相当。シナリオA</t>
        </is>
      </c>
    </row>
    <row r="14" ht="15" customHeight="1">
      <c r="B14" s="4" t="inlineStr">
        <is>
          <t>ライト契約（月額・1社）</t>
        </is>
      </c>
      <c r="C14" s="70" t="n">
        <v>70000</v>
      </c>
      <c r="D14" s="6" t="inlineStr">
        <is>
          <t>自走後の継続。相談・保守ベース</t>
        </is>
      </c>
    </row>
    <row r="16" ht="15" customHeight="1">
      <c r="B16" s="3" t="inlineStr">
        <is>
          <t>③ 上限（品質を守る方針）</t>
        </is>
      </c>
      <c r="C16" s="3" t="n"/>
      <c r="D16" s="3" t="n"/>
    </row>
    <row r="17" ht="15" customHeight="1">
      <c r="B17" s="4" t="inlineStr">
        <is>
          <t>濃い伴走の同時上限（社）</t>
        </is>
      </c>
      <c r="C17" s="72" t="n">
        <v>3</v>
      </c>
      <c r="D17" s="9" t="inlineStr">
        <is>
          <t>3社を超えると文脈維持の工数が品質を割る</t>
        </is>
      </c>
    </row>
    <row r="19" ht="15" customHeight="1">
      <c r="B19" s="3" t="inlineStr">
        <is>
          <t>④ 会計レベル前提（費用・税）</t>
        </is>
      </c>
      <c r="C19" s="3" t="n"/>
      <c r="D19" s="3" t="n"/>
    </row>
    <row r="20" ht="15" customHeight="1">
      <c r="B20" s="4" t="inlineStr">
        <is>
          <t>役員報酬（月）</t>
        </is>
      </c>
      <c r="C20" s="70" t="n">
        <v>70000</v>
      </c>
      <c r="D20" s="6" t="inlineStr">
        <is>
          <t>立ち上げ年は7万で低く固定（定期同額のため期中変更は不可→Y2で増額）。生活は貯蓄で橋渡し</t>
        </is>
      </c>
    </row>
    <row r="21" ht="15" customHeight="1">
      <c r="B21" s="4" t="inlineStr">
        <is>
          <t>会社負担 社会保険（月）</t>
        </is>
      </c>
      <c r="C21" s="70" t="n">
        <v>11000</v>
      </c>
      <c r="D21" s="6" t="inlineStr">
        <is>
          <t>役員報酬7万の最低等級 概算</t>
        </is>
      </c>
    </row>
    <row r="22" ht="15" customHeight="1">
      <c r="B22" s="4" t="inlineStr">
        <is>
          <t>その他費用（固定＋変動・明細は⑦）</t>
        </is>
      </c>
      <c r="C22" s="73">
        <f>C55</f>
        <v/>
      </c>
      <c r="D22" s="6" t="inlineStr">
        <is>
          <t>⑦の明細合計（社宅は純額）。旧10.25万バンドルを置換</t>
        </is>
      </c>
    </row>
    <row r="23" ht="15" customHeight="1">
      <c r="B23" s="4" t="inlineStr">
        <is>
          <t>消費税 みなし仕入率（簡易課税）</t>
        </is>
      </c>
      <c r="C23" s="74" t="n">
        <v>0.5</v>
      </c>
      <c r="D23" s="6" t="inlineStr">
        <is>
          <t>サービス業=第5種50%。納税=売上消費税×(1-この率)</t>
        </is>
      </c>
    </row>
    <row r="24" ht="15" customHeight="1">
      <c r="B24" s="4" t="inlineStr">
        <is>
          <t>消費税率</t>
        </is>
      </c>
      <c r="C24" s="74" t="n">
        <v>0.1</v>
      </c>
      <c r="D24" s="9" t="n"/>
    </row>
    <row r="25" ht="15" customHeight="1">
      <c r="B25" s="4" t="inlineStr">
        <is>
          <t>法人実効税率（概算）</t>
        </is>
      </c>
      <c r="C25" s="74" t="n">
        <v>0.25</v>
      </c>
      <c r="D25" s="6" t="inlineStr">
        <is>
          <t>所得800万以下の中小法人 概算</t>
        </is>
      </c>
    </row>
    <row r="26" ht="15" customHeight="1">
      <c r="B26" s="4" t="inlineStr">
        <is>
          <t>法人住民税 均等割（年・赤字でも発生）</t>
        </is>
      </c>
      <c r="C26" s="70" t="n">
        <v>70000</v>
      </c>
      <c r="D26" s="6" t="inlineStr">
        <is>
          <t>最低限かかる固定税</t>
        </is>
      </c>
    </row>
    <row r="28" ht="15" customHeight="1">
      <c r="B28" s="11" t="inlineStr">
        <is>
          <t>⑤ 営業ファネル（登壇・自前コンテンツで新規診断を生む）</t>
        </is>
      </c>
      <c r="C28" s="11" t="n"/>
      <c r="D28" s="11" t="n"/>
    </row>
    <row r="29" ht="15" customHeight="1">
      <c r="B29" s="12" t="inlineStr">
        <is>
          <t>1登壇あたり参加者（人）</t>
        </is>
      </c>
      <c r="C29" s="74" t="n">
        <v>20</v>
      </c>
      <c r="D29" s="9" t="inlineStr">
        <is>
          <t>小規模セミナー/勉強会の集客想定。最初の1〜2回はここが一番難所（要・自前集客）</t>
        </is>
      </c>
    </row>
    <row r="30" ht="15" customHeight="1">
      <c r="B30" s="12" t="inlineStr">
        <is>
          <t>参加者→無料相談 化率</t>
        </is>
      </c>
      <c r="C30" s="74" t="n">
        <v>0.15</v>
      </c>
      <c r="D30" s="13" t="inlineStr">
        <is>
          <t>登壇を聞いた人が個別相談に来る率。温度が高い10〜20%</t>
        </is>
      </c>
    </row>
    <row r="31" ht="15" customHeight="1">
      <c r="B31" s="12" t="inlineStr">
        <is>
          <t>無料相談→診断 成約率</t>
        </is>
      </c>
      <c r="C31" s="74" t="n">
        <v>0.35</v>
      </c>
      <c r="D31" s="13" t="inlineStr">
        <is>
          <t>登壇経由は信頼が乗り30万診断に進みやすい(コールドの28%より高い)</t>
        </is>
      </c>
    </row>
    <row r="32" ht="15" customHeight="1">
      <c r="B32" s="14" t="inlineStr">
        <is>
          <t>診断→伴走 移行率</t>
        </is>
      </c>
      <c r="C32" s="75" t="n">
        <v>0.5</v>
      </c>
      <c r="D32" s="13" t="inlineStr">
        <is>
          <t>断る関門として意図的に絞る。据え置き</t>
        </is>
      </c>
    </row>
    <row r="33">
      <c r="B33" t="inlineStr">
        <is>
          <t>1登壇の所要時間（h/回・定常）</t>
        </is>
      </c>
      <c r="C33" s="64" t="n">
        <v>10</v>
      </c>
      <c r="D33" t="inlineStr">
        <is>
          <t>資料作成は流用前提。初回のみ別途+約20hの先行投資(ストック資産化＝L-3/L-4)</t>
        </is>
      </c>
    </row>
    <row r="34" ht="15" customHeight="1">
      <c r="B34" s="11" t="inlineStr">
        <is>
          <t>⑥ 個人サバイバル（会社とは別の財布）</t>
        </is>
      </c>
      <c r="C34" s="11" t="n"/>
      <c r="D34" s="11" t="n"/>
    </row>
    <row r="35" ht="15" customHeight="1">
      <c r="B35" s="12" t="inlineStr">
        <is>
          <t>個人の貯蓄（滑走路）</t>
        </is>
      </c>
      <c r="C35" s="70" t="n">
        <v>2000000</v>
      </c>
      <c r="D35" s="13" t="inlineStr">
        <is>
          <t>海外資金。会社でなく“あなた個人”の生活を支える</t>
        </is>
      </c>
    </row>
    <row r="36" ht="15" customHeight="1">
      <c r="B36" s="12" t="inlineStr">
        <is>
          <t>個人の生活費（月）</t>
        </is>
      </c>
      <c r="C36" s="70" t="n">
        <v>500000</v>
      </c>
      <c r="D36" s="13" t="inlineStr">
        <is>
          <t>家賃・生活・税社保等の個人支出</t>
        </is>
      </c>
    </row>
    <row r="37">
      <c r="B37" t="inlineStr">
        <is>
          <t>個人の現・家賃（生活費に含まれる分）</t>
        </is>
      </c>
      <c r="C37" s="77" t="n">
        <v>200000</v>
      </c>
      <c r="D37" t="inlineStr">
        <is>
          <t>要確認。社宅化でこの分が会社へ移り、個人負担は賃貸料相当額に下がる</t>
        </is>
      </c>
    </row>
    <row r="38">
      <c r="B38" s="76" t="inlineStr">
        <is>
          <t>⑦ 費用明細（固定費・変動費）★2026-06-21 追加</t>
        </is>
      </c>
      <c r="D38" t="inlineStr">
        <is>
          <t>旧・販管費10.25万（通信等の合算）を明細化して置換。黄色＝入力。0や「要確認」は本人記入待ち</t>
        </is>
      </c>
    </row>
    <row r="39">
      <c r="B39" s="76" t="inlineStr">
        <is>
          <t>【固定費・非人件費（毎月一定）】</t>
        </is>
      </c>
    </row>
    <row r="40">
      <c r="B40" t="inlineStr">
        <is>
          <t>地代家賃（役員社宅・会社負担）</t>
        </is>
      </c>
      <c r="C40" s="77" t="n">
        <v>200000</v>
      </c>
      <c r="D40" t="inlineStr">
        <is>
          <t>指定。会社が借り上げ、損金算入</t>
        </is>
      </c>
    </row>
    <row r="41">
      <c r="B41" t="inlineStr">
        <is>
          <t>役員 本人負担分（賃貸料相当額・会社受取）</t>
        </is>
      </c>
      <c r="C41" s="77" t="n">
        <v>50000</v>
      </c>
      <c r="D41" t="inlineStr">
        <is>
          <t>要確認。小規模住宅なら家賃の1〜2割程度。これ以上本人が払えば現物給与にならない。純コストを下げる</t>
        </is>
      </c>
    </row>
    <row r="42">
      <c r="B42" t="inlineStr">
        <is>
          <t>通信費</t>
        </is>
      </c>
      <c r="C42" s="77" t="n">
        <v>50000</v>
      </c>
      <c r="D42" t="inlineStr">
        <is>
          <t>指定（旧販管費の通信を別出し）</t>
        </is>
      </c>
    </row>
    <row r="43">
      <c r="B43" t="inlineStr">
        <is>
          <t>税理士・顧問料</t>
        </is>
      </c>
      <c r="C43" s="77" t="n">
        <v>30000</v>
      </c>
      <c r="D43" t="inlineStr">
        <is>
          <t>仮。月顧問+決算料の月割。要確認</t>
        </is>
      </c>
    </row>
    <row r="44">
      <c r="B44" t="inlineStr">
        <is>
          <t>システム利用料・SaaS</t>
        </is>
      </c>
      <c r="C44" s="77" t="n">
        <v>0</v>
      </c>
      <c r="D44" t="inlineStr">
        <is>
          <t>要確認（自社ツール月額合計）</t>
        </is>
      </c>
    </row>
    <row r="45">
      <c r="B45" t="inlineStr">
        <is>
          <t>水道光熱費（オフィス分）</t>
        </is>
      </c>
      <c r="C45" s="77" t="n">
        <v>0</v>
      </c>
      <c r="D45" t="inlineStr">
        <is>
          <t>社宅の光熱費は個人負担が通常→会社は0。オフィスを別に持つ場合のみ</t>
        </is>
      </c>
    </row>
    <row r="46">
      <c r="B46" t="inlineStr">
        <is>
          <t>その他固定費</t>
        </is>
      </c>
      <c r="C46" s="100" t="n">
        <v>0</v>
      </c>
      <c r="D46" t="inlineStr">
        <is>
          <t>要確認（保険料・会費など）</t>
        </is>
      </c>
    </row>
    <row r="47">
      <c r="B47" s="76" t="inlineStr">
        <is>
          <t>固定費（非人件費）小計</t>
        </is>
      </c>
      <c r="C47" s="78">
        <f>C40-C41+C42+C43+C44+C45+C46</f>
        <v/>
      </c>
      <c r="D47" t="inlineStr">
        <is>
          <t>社宅は「会社負担−本人負担」の純額</t>
        </is>
      </c>
    </row>
    <row r="48">
      <c r="B48" s="76" t="inlineStr">
        <is>
          <t>【変動費（売上・稼働連動／月平均の概算）】</t>
        </is>
      </c>
      <c r="C48" s="77" t="n"/>
    </row>
    <row r="49">
      <c r="B49" t="inlineStr">
        <is>
          <t>外注費（コーダー/デザイナー）</t>
        </is>
      </c>
      <c r="C49" s="77" t="n">
        <v>0</v>
      </c>
      <c r="D49" t="inlineStr">
        <is>
          <t>要確認（案件連動）</t>
        </is>
      </c>
    </row>
    <row r="50">
      <c r="B50" t="inlineStr">
        <is>
          <t>旅費交通費</t>
        </is>
      </c>
      <c r="C50" s="77" t="n">
        <v>0</v>
      </c>
      <c r="D50" t="inlineStr">
        <is>
          <t>要確認（基本オンラインなら低め）</t>
        </is>
      </c>
    </row>
    <row r="51">
      <c r="B51" t="inlineStr">
        <is>
          <t>接待交際費</t>
        </is>
      </c>
      <c r="C51" s="77" t="n">
        <v>0</v>
      </c>
      <c r="D51" t="inlineStr">
        <is>
          <t>要確認</t>
        </is>
      </c>
    </row>
    <row r="52">
      <c r="B52" t="inlineStr">
        <is>
          <t>消耗品費</t>
        </is>
      </c>
      <c r="C52" s="77" t="n">
        <v>5000</v>
      </c>
      <c r="D52" t="inlineStr">
        <is>
          <t>仮</t>
        </is>
      </c>
    </row>
    <row r="53">
      <c r="B53" t="inlineStr">
        <is>
          <t>広告宣伝費</t>
        </is>
      </c>
      <c r="C53" s="100" t="n">
        <v>0</v>
      </c>
      <c r="D53" t="inlineStr">
        <is>
          <t>要確認（登壇/発信中心なら小）</t>
        </is>
      </c>
    </row>
    <row r="54">
      <c r="B54" s="76" t="inlineStr">
        <is>
          <t>変動費（月平均）小計</t>
        </is>
      </c>
      <c r="C54" s="78">
        <f>SUM(C49:C53)</f>
        <v/>
      </c>
    </row>
    <row r="55">
      <c r="B55" s="76" t="inlineStr">
        <is>
          <t>月次その他費用 合計（C22に反映）</t>
        </is>
      </c>
      <c r="C55" s="78">
        <f>C47+C54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O21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3" customWidth="1" min="1" max="1"/>
    <col width="30" customWidth="1" min="2" max="2"/>
    <col width="12.453125" bestFit="1" customWidth="1" min="3" max="3"/>
    <col width="11" customWidth="1" min="4" max="15"/>
  </cols>
  <sheetData>
    <row r="2" ht="21.75" customHeight="1">
      <c r="B2" s="16" t="inlineStr">
        <is>
          <t>Year 1 — 月次キャッシュ推移</t>
        </is>
      </c>
    </row>
    <row r="3" ht="15" customHeight="1">
      <c r="B3" s="2" t="inlineStr">
        <is>
          <t>新事業の「数量」だけ青で打ち替えてください（診断件数・伴走社数・ライト社数）。売上と残高は自動計算。</t>
        </is>
      </c>
    </row>
    <row r="5" ht="15" customHeight="1">
      <c r="B5" s="3" t="inlineStr">
        <is>
          <t>項目</t>
        </is>
      </c>
      <c r="C5" s="17" t="inlineStr">
        <is>
          <t>1月</t>
        </is>
      </c>
      <c r="D5" s="17" t="inlineStr">
        <is>
          <t>2月</t>
        </is>
      </c>
      <c r="E5" s="17" t="inlineStr">
        <is>
          <t>3月</t>
        </is>
      </c>
      <c r="F5" s="17" t="inlineStr">
        <is>
          <t>4月</t>
        </is>
      </c>
      <c r="G5" s="17" t="inlineStr">
        <is>
          <t>5月</t>
        </is>
      </c>
      <c r="H5" s="17" t="inlineStr">
        <is>
          <t>6月</t>
        </is>
      </c>
      <c r="I5" s="17" t="inlineStr">
        <is>
          <t>7月</t>
        </is>
      </c>
      <c r="J5" s="17" t="inlineStr">
        <is>
          <t>8月</t>
        </is>
      </c>
      <c r="K5" s="17" t="inlineStr">
        <is>
          <t>9月</t>
        </is>
      </c>
      <c r="L5" s="17" t="inlineStr">
        <is>
          <t>10月</t>
        </is>
      </c>
      <c r="M5" s="17" t="inlineStr">
        <is>
          <t>11月</t>
        </is>
      </c>
      <c r="N5" s="17" t="inlineStr">
        <is>
          <t>12月</t>
        </is>
      </c>
      <c r="O5" s="17" t="inlineStr">
        <is>
          <t>12月</t>
        </is>
      </c>
    </row>
    <row r="6" ht="15" customHeight="1">
      <c r="B6" s="18" t="inlineStr">
        <is>
          <t>診断・件数（立ち上げ価格）</t>
        </is>
      </c>
      <c r="C6" s="79" t="n">
        <v>1</v>
      </c>
      <c r="D6" s="79" t="n">
        <v>1</v>
      </c>
      <c r="E6" s="79" t="n">
        <v>1</v>
      </c>
      <c r="F6" s="79" t="n">
        <v>1</v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</row>
    <row r="7" ht="15" customHeight="1">
      <c r="B7" s="18" t="inlineStr">
        <is>
          <t>診断・件数（通常価格）</t>
        </is>
      </c>
      <c r="C7" s="79" t="n">
        <v>0</v>
      </c>
      <c r="D7" s="79" t="n">
        <v>0</v>
      </c>
      <c r="E7" s="79" t="n">
        <v>0</v>
      </c>
      <c r="F7" s="79" t="n">
        <v>0</v>
      </c>
      <c r="G7" s="79" t="n">
        <v>0</v>
      </c>
      <c r="H7" s="79" t="n">
        <v>0</v>
      </c>
      <c r="I7" s="79" t="n">
        <v>0</v>
      </c>
      <c r="J7" s="79" t="n">
        <v>1</v>
      </c>
      <c r="K7" s="79" t="n">
        <v>0</v>
      </c>
      <c r="L7" s="79" t="n">
        <v>1</v>
      </c>
      <c r="M7" s="79" t="n">
        <v>0</v>
      </c>
      <c r="N7" s="79" t="n">
        <v>1</v>
      </c>
    </row>
    <row r="8" ht="15" customHeight="1">
      <c r="B8" s="18" t="inlineStr">
        <is>
          <t>濃い伴走・稼働社数</t>
        </is>
      </c>
      <c r="C8" s="79" t="n">
        <v>0</v>
      </c>
      <c r="D8" s="79" t="n">
        <v>0</v>
      </c>
      <c r="E8" s="79" t="n">
        <v>0</v>
      </c>
      <c r="F8" s="79" t="n">
        <v>0</v>
      </c>
      <c r="G8" s="79" t="n">
        <v>1</v>
      </c>
      <c r="H8" s="79" t="n">
        <v>1</v>
      </c>
      <c r="I8" s="79" t="n">
        <v>1</v>
      </c>
      <c r="J8" s="79" t="n">
        <v>1</v>
      </c>
      <c r="K8" s="79" t="n">
        <v>2</v>
      </c>
      <c r="L8" s="79" t="n">
        <v>2</v>
      </c>
      <c r="M8" s="79" t="n">
        <v>2</v>
      </c>
      <c r="N8" s="79" t="n">
        <v>2</v>
      </c>
    </row>
    <row r="9" ht="15" customHeight="1">
      <c r="B9" s="18" t="inlineStr">
        <is>
          <t>ライト契約・社数</t>
        </is>
      </c>
      <c r="C9" s="79" t="n">
        <v>0</v>
      </c>
      <c r="D9" s="79" t="n">
        <v>0</v>
      </c>
      <c r="E9" s="79" t="n">
        <v>0</v>
      </c>
      <c r="F9" s="79" t="n">
        <v>0</v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1</v>
      </c>
      <c r="M9" s="79" t="n">
        <v>1</v>
      </c>
      <c r="N9" s="79" t="n">
        <v>1</v>
      </c>
    </row>
    <row r="11" ht="15" customHeight="1">
      <c r="B11" s="20" t="inlineStr">
        <is>
          <t>新事業 売上</t>
        </is>
      </c>
      <c r="C11" s="80">
        <f>C6*前提!$C$11+C7*前提!$C$12+C8*前提!$C$13+C9*前提!$C$14</f>
        <v/>
      </c>
      <c r="D11" s="80">
        <f>D6*前提!$C$11+D7*前提!$C$12+D8*前提!$C$13+D9*前提!$C$14</f>
        <v/>
      </c>
      <c r="E11" s="80">
        <f>E6*前提!$C$11+E7*前提!$C$12+E8*前提!$C$13+E9*前提!$C$14</f>
        <v/>
      </c>
      <c r="F11" s="80">
        <f>F6*前提!$C$11+F7*前提!$C$12+F8*前提!$C$13+F9*前提!$C$14</f>
        <v/>
      </c>
      <c r="G11" s="80">
        <f>G6*前提!$C$11+G7*前提!$C$12+G8*前提!$C$13+G9*前提!$C$14</f>
        <v/>
      </c>
      <c r="H11" s="80">
        <f>H6*前提!$C$11+H7*前提!$C$12+H8*前提!$C$13+H9*前提!$C$14</f>
        <v/>
      </c>
      <c r="I11" s="80">
        <f>I6*前提!$C$11+I7*前提!$C$12+I8*前提!$C$13+I9*前提!$C$14</f>
        <v/>
      </c>
      <c r="J11" s="80">
        <f>J6*前提!$C$11+J7*前提!$C$12+J8*前提!$C$13+J9*前提!$C$14</f>
        <v/>
      </c>
      <c r="K11" s="80">
        <f>K6*前提!$C$11+K7*前提!$C$12+K8*前提!$C$13+K9*前提!$C$14</f>
        <v/>
      </c>
      <c r="L11" s="80">
        <f>L6*前提!$C$11+L7*前提!$C$12+L8*前提!$C$13+L9*前提!$C$14</f>
        <v/>
      </c>
      <c r="M11" s="80">
        <f>M6*前提!$C$11+M7*前提!$C$12+M8*前提!$C$13+M9*前提!$C$14</f>
        <v/>
      </c>
      <c r="N11" s="80">
        <f>N6*前提!$C$11+N7*前提!$C$12+N8*前提!$C$13+N9*前提!$C$14</f>
        <v/>
      </c>
    </row>
    <row r="12" ht="15" customHeight="1">
      <c r="B12" s="4" t="inlineStr">
        <is>
          <t>既存受託</t>
        </is>
      </c>
      <c r="C12" s="81">
        <f>前提!$C$8</f>
        <v/>
      </c>
      <c r="D12" s="81">
        <f>前提!$C$8</f>
        <v/>
      </c>
      <c r="E12" s="81">
        <f>前提!$C$8</f>
        <v/>
      </c>
      <c r="F12" s="81">
        <f>前提!$C$8</f>
        <v/>
      </c>
      <c r="G12" s="81">
        <f>前提!$C$8</f>
        <v/>
      </c>
      <c r="H12" s="81">
        <f>前提!$C$8</f>
        <v/>
      </c>
      <c r="I12" s="81">
        <f>前提!$C$8</f>
        <v/>
      </c>
      <c r="J12" s="81">
        <f>前提!$C$8</f>
        <v/>
      </c>
      <c r="K12" s="81">
        <f>前提!$C$8</f>
        <v/>
      </c>
      <c r="L12" s="81">
        <f>前提!$C$8</f>
        <v/>
      </c>
      <c r="M12" s="81">
        <f>前提!$C$8</f>
        <v/>
      </c>
      <c r="N12" s="81">
        <f>前提!$C$8</f>
        <v/>
      </c>
    </row>
    <row r="13" ht="15" customHeight="1">
      <c r="B13" s="20" t="inlineStr">
        <is>
          <t>総売上</t>
        </is>
      </c>
      <c r="C13" s="80">
        <f>C11+C12</f>
        <v/>
      </c>
      <c r="D13" s="80">
        <f>D11+D12</f>
        <v/>
      </c>
      <c r="E13" s="80">
        <f>E11+E12</f>
        <v/>
      </c>
      <c r="F13" s="80">
        <f>F11+F12</f>
        <v/>
      </c>
      <c r="G13" s="80">
        <f>G11+G12</f>
        <v/>
      </c>
      <c r="H13" s="80">
        <f>H11+H12</f>
        <v/>
      </c>
      <c r="I13" s="80">
        <f>I11+I12</f>
        <v/>
      </c>
      <c r="J13" s="80">
        <f>J11+J12</f>
        <v/>
      </c>
      <c r="K13" s="80">
        <f>K11+K12</f>
        <v/>
      </c>
      <c r="L13" s="80">
        <f>L11+L12</f>
        <v/>
      </c>
      <c r="M13" s="80">
        <f>M11+M12</f>
        <v/>
      </c>
      <c r="N13" s="80">
        <f>N11+N12</f>
        <v/>
      </c>
    </row>
    <row r="15" ht="15" customHeight="1">
      <c r="B15" s="4" t="inlineStr">
        <is>
          <t>損益分岐点</t>
        </is>
      </c>
      <c r="C15" s="81">
        <f>前提!$C$7</f>
        <v/>
      </c>
      <c r="D15" s="81">
        <f>前提!$C$7</f>
        <v/>
      </c>
      <c r="E15" s="81">
        <f>前提!$C$7</f>
        <v/>
      </c>
      <c r="F15" s="81">
        <f>前提!$C$7</f>
        <v/>
      </c>
      <c r="G15" s="81">
        <f>前提!$C$7</f>
        <v/>
      </c>
      <c r="H15" s="81">
        <f>前提!$C$7</f>
        <v/>
      </c>
      <c r="I15" s="81">
        <f>前提!$C$7</f>
        <v/>
      </c>
      <c r="J15" s="81">
        <f>前提!$C$7</f>
        <v/>
      </c>
      <c r="K15" s="81">
        <f>前提!$C$7</f>
        <v/>
      </c>
      <c r="L15" s="81">
        <f>前提!$C$7</f>
        <v/>
      </c>
      <c r="M15" s="81">
        <f>前提!$C$7</f>
        <v/>
      </c>
      <c r="N15" s="81">
        <f>前提!$C$7</f>
        <v/>
      </c>
    </row>
    <row r="16" ht="15" customHeight="1">
      <c r="B16" s="23" t="inlineStr">
        <is>
          <t>単月収支（±）</t>
        </is>
      </c>
      <c r="C16" s="80">
        <f>C13-C15</f>
        <v/>
      </c>
      <c r="D16" s="80">
        <f>D13-D15</f>
        <v/>
      </c>
      <c r="E16" s="80">
        <f>E13-E15</f>
        <v/>
      </c>
      <c r="F16" s="80">
        <f>F13-F15</f>
        <v/>
      </c>
      <c r="G16" s="80">
        <f>G13-G15</f>
        <v/>
      </c>
      <c r="H16" s="80">
        <f>H13-H15</f>
        <v/>
      </c>
      <c r="I16" s="80">
        <f>I13-I15</f>
        <v/>
      </c>
      <c r="J16" s="80">
        <f>J13-J15</f>
        <v/>
      </c>
      <c r="K16" s="80">
        <f>K13-K15</f>
        <v/>
      </c>
      <c r="L16" s="80">
        <f>L13-L15</f>
        <v/>
      </c>
      <c r="M16" s="80">
        <f>M13-M15</f>
        <v/>
      </c>
      <c r="N16" s="80">
        <f>N13-N15</f>
        <v/>
      </c>
    </row>
    <row r="17" ht="15" customHeight="1">
      <c r="B17" s="24" t="inlineStr">
        <is>
          <t>キャッシュ残高</t>
        </is>
      </c>
      <c r="C17" s="80">
        <f>前提!$C$6+C16</f>
        <v/>
      </c>
      <c r="D17" s="80">
        <f>C17+D16</f>
        <v/>
      </c>
      <c r="E17" s="80">
        <f>D17+E16</f>
        <v/>
      </c>
      <c r="F17" s="80">
        <f>E17+F16</f>
        <v/>
      </c>
      <c r="G17" s="80">
        <f>F17+G16</f>
        <v/>
      </c>
      <c r="H17" s="80">
        <f>G17+H16</f>
        <v/>
      </c>
      <c r="I17" s="80">
        <f>H17+I16</f>
        <v/>
      </c>
      <c r="J17" s="80">
        <f>I17+J16</f>
        <v/>
      </c>
      <c r="K17" s="80">
        <f>J17+K16</f>
        <v/>
      </c>
      <c r="L17" s="80">
        <f>K17+L16</f>
        <v/>
      </c>
      <c r="M17" s="80">
        <f>L17+M16</f>
        <v/>
      </c>
      <c r="N17" s="80">
        <f>M17+N16</f>
        <v/>
      </c>
    </row>
    <row r="19" ht="15" customHeight="1">
      <c r="B19" s="25" t="inlineStr">
        <is>
          <t>年間 新事業売上 合計</t>
        </is>
      </c>
      <c r="C19" s="82">
        <f>SUM(C11:N11)</f>
        <v/>
      </c>
    </row>
    <row r="20" ht="15" customHeight="1">
      <c r="B20" s="25" t="inlineStr">
        <is>
          <t>年末キャッシュ残高</t>
        </is>
      </c>
      <c r="C20" s="83">
        <f>N17</f>
        <v/>
      </c>
    </row>
    <row r="21" ht="15" customHeight="1">
      <c r="B21" s="25" t="inlineStr">
        <is>
          <t>初年度の最低残高（滑走路の底）</t>
        </is>
      </c>
      <c r="C21" s="84">
        <f>MIN(C17:N17)</f>
        <v/>
      </c>
      <c r="D21" s="2" t="inlineStr">
        <is>
          <t>← ここがマイナスにならなければ、負の連鎖で死ぬことはない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29"/>
  <sheetViews>
    <sheetView showGridLines="0" zoomScaleNormal="100" workbookViewId="0">
      <selection activeCell="H24" sqref="H24"/>
    </sheetView>
  </sheetViews>
  <sheetFormatPr baseColWidth="8" defaultColWidth="8.6328125" defaultRowHeight="14.5"/>
  <cols>
    <col width="3" customWidth="1" min="1" max="1"/>
    <col width="30" customWidth="1" min="2" max="2"/>
    <col width="12.453125" bestFit="1" customWidth="1" min="3" max="5"/>
    <col width="10" customWidth="1" min="6" max="14"/>
  </cols>
  <sheetData>
    <row r="2" ht="21.75" customHeight="1">
      <c r="B2" s="16" t="inlineStr">
        <is>
          <t>3年計画 — 四半期ショートスパン</t>
        </is>
      </c>
    </row>
    <row r="3" ht="15" customHeight="1">
      <c r="B3" s="2" t="inlineStr">
        <is>
          <t>見るのは4つだけ：診断数・伴走社数・ライト社数・キャッシュ残高。指標を増やさないのが一人会社のコツ。</t>
        </is>
      </c>
    </row>
    <row r="5" ht="15" customHeight="1">
      <c r="B5" s="3" t="inlineStr">
        <is>
          <t>項目</t>
        </is>
      </c>
      <c r="C5" s="17" t="inlineStr">
        <is>
          <t>Y1Q1</t>
        </is>
      </c>
      <c r="D5" s="17" t="inlineStr">
        <is>
          <t>Y1Q2</t>
        </is>
      </c>
      <c r="E5" s="17" t="inlineStr">
        <is>
          <t>Y1Q3</t>
        </is>
      </c>
      <c r="F5" s="17" t="inlineStr">
        <is>
          <t>Y1Q4</t>
        </is>
      </c>
      <c r="G5" s="17" t="inlineStr">
        <is>
          <t>Y2Q1</t>
        </is>
      </c>
      <c r="H5" s="17" t="inlineStr">
        <is>
          <t>Y2Q2</t>
        </is>
      </c>
      <c r="I5" s="17" t="inlineStr">
        <is>
          <t>Y2Q3</t>
        </is>
      </c>
      <c r="J5" s="17" t="inlineStr">
        <is>
          <t>Y2Q4</t>
        </is>
      </c>
      <c r="K5" s="17" t="inlineStr">
        <is>
          <t>Y3Q1</t>
        </is>
      </c>
      <c r="L5" s="17" t="inlineStr">
        <is>
          <t>Y3Q2</t>
        </is>
      </c>
      <c r="M5" s="17" t="inlineStr">
        <is>
          <t>Y3Q3</t>
        </is>
      </c>
      <c r="N5" s="17" t="inlineStr">
        <is>
          <t>Y3Q4</t>
        </is>
      </c>
    </row>
    <row r="6" ht="15" customHeight="1">
      <c r="B6" s="4" t="inlineStr">
        <is>
          <t>診断・件数 / 四半期</t>
        </is>
      </c>
      <c r="C6" s="85" t="n">
        <v>3</v>
      </c>
      <c r="D6" s="85" t="n">
        <v>2</v>
      </c>
      <c r="E6" s="85" t="n">
        <v>2</v>
      </c>
      <c r="F6" s="85" t="n">
        <v>2</v>
      </c>
      <c r="G6" s="85" t="n">
        <v>2</v>
      </c>
      <c r="H6" s="85" t="n">
        <v>2</v>
      </c>
      <c r="I6" s="85" t="n">
        <v>2</v>
      </c>
      <c r="J6" s="85" t="n">
        <v>2</v>
      </c>
      <c r="K6" s="85" t="n">
        <v>1</v>
      </c>
      <c r="L6" s="85" t="n">
        <v>1</v>
      </c>
      <c r="M6" s="85" t="n">
        <v>1</v>
      </c>
      <c r="N6" s="85" t="n">
        <v>1</v>
      </c>
    </row>
    <row r="7" ht="15" customHeight="1">
      <c r="B7" s="4" t="inlineStr">
        <is>
          <t>濃い伴走・社数（平均）</t>
        </is>
      </c>
      <c r="C7" s="85" t="n">
        <v>0</v>
      </c>
      <c r="D7" s="85" t="n">
        <v>1</v>
      </c>
      <c r="E7" s="85" t="n">
        <v>1.5</v>
      </c>
      <c r="F7" s="85" t="n">
        <v>2</v>
      </c>
      <c r="G7" s="85" t="n">
        <v>2</v>
      </c>
      <c r="H7" s="85" t="n">
        <v>2</v>
      </c>
      <c r="I7" s="85" t="n">
        <v>2</v>
      </c>
      <c r="J7" s="85" t="n">
        <v>2</v>
      </c>
      <c r="K7" s="85" t="n">
        <v>2</v>
      </c>
      <c r="L7" s="85" t="n">
        <v>2</v>
      </c>
      <c r="M7" s="85" t="n">
        <v>2</v>
      </c>
      <c r="N7" s="85" t="n">
        <v>2</v>
      </c>
    </row>
    <row r="8" ht="15" customHeight="1">
      <c r="B8" s="4" t="inlineStr">
        <is>
          <t>ライト・社数</t>
        </is>
      </c>
      <c r="C8" s="79" t="n">
        <v>0</v>
      </c>
      <c r="D8" s="79" t="n">
        <v>0</v>
      </c>
      <c r="E8" s="79" t="n">
        <v>0</v>
      </c>
      <c r="F8" s="79" t="n">
        <v>1</v>
      </c>
      <c r="G8" s="79" t="n">
        <v>2</v>
      </c>
      <c r="H8" s="79" t="n">
        <v>3</v>
      </c>
      <c r="I8" s="79" t="n">
        <v>4</v>
      </c>
      <c r="J8" s="79" t="n">
        <v>5</v>
      </c>
      <c r="K8" s="79" t="n">
        <v>6</v>
      </c>
      <c r="L8" s="79" t="n">
        <v>7</v>
      </c>
      <c r="M8" s="79" t="n">
        <v>8</v>
      </c>
      <c r="N8" s="79" t="n">
        <v>9</v>
      </c>
    </row>
    <row r="10" ht="15" customHeight="1">
      <c r="B10" s="20" t="inlineStr">
        <is>
          <t>新事業 売上 / Q</t>
        </is>
      </c>
      <c r="C10" s="80">
        <f>C6*前提!$C$11+C7*前提!$C$13*3+C8*前提!$C$14*3</f>
        <v/>
      </c>
      <c r="D10" s="80">
        <f>D6*前提!$C$11+D7*前提!$C$13*3+D8*前提!$C$14*3</f>
        <v/>
      </c>
      <c r="E10" s="80">
        <f>E6*前提!$C$12+E7*前提!$C$13*3+E8*前提!$C$14*3</f>
        <v/>
      </c>
      <c r="F10" s="80">
        <f>F6*前提!$C$12+F7*前提!$C$13*3+F8*前提!$C$14*3</f>
        <v/>
      </c>
      <c r="G10" s="80">
        <f>G6*前提!$C$12+G7*前提!$C$13*3+G8*前提!$C$14*3</f>
        <v/>
      </c>
      <c r="H10" s="80">
        <f>H6*前提!$C$12+H7*前提!$C$13*3+H8*前提!$C$14*3</f>
        <v/>
      </c>
      <c r="I10" s="80">
        <f>I6*前提!$C$12+I7*前提!$C$13*3+I8*前提!$C$14*3</f>
        <v/>
      </c>
      <c r="J10" s="80">
        <f>J6*前提!$C$12+J7*前提!$C$13*3+J8*前提!$C$14*3</f>
        <v/>
      </c>
      <c r="K10" s="80">
        <f>K6*前提!$C$12+K7*前提!$C$13*3+K8*前提!$C$14*3</f>
        <v/>
      </c>
      <c r="L10" s="80">
        <f>L6*前提!$C$12+L7*前提!$C$13*3+L8*前提!$C$14*3</f>
        <v/>
      </c>
      <c r="M10" s="80">
        <f>M6*前提!$C$12+M7*前提!$C$13*3+M8*前提!$C$14*3</f>
        <v/>
      </c>
      <c r="N10" s="80">
        <f>N6*前提!$C$12+N7*前提!$C$13*3+N8*前提!$C$14*3</f>
        <v/>
      </c>
    </row>
    <row r="11" ht="15" customHeight="1">
      <c r="B11" s="4" t="inlineStr">
        <is>
          <t>既存受託 / Q</t>
        </is>
      </c>
      <c r="C11" s="81">
        <f>前提!$C$8*3</f>
        <v/>
      </c>
      <c r="D11" s="81">
        <f>前提!$C$8*3</f>
        <v/>
      </c>
      <c r="E11" s="81">
        <f>前提!$C$8*3</f>
        <v/>
      </c>
      <c r="F11" s="81">
        <f>前提!$C$8*3</f>
        <v/>
      </c>
      <c r="G11" s="81">
        <f>前提!$C$8*3</f>
        <v/>
      </c>
      <c r="H11" s="81">
        <f>前提!$C$8*3</f>
        <v/>
      </c>
      <c r="I11" s="81">
        <f>前提!$C$8*3</f>
        <v/>
      </c>
      <c r="J11" s="81">
        <f>前提!$C$8*3</f>
        <v/>
      </c>
      <c r="K11" s="81">
        <f>前提!$C$8*3</f>
        <v/>
      </c>
      <c r="L11" s="81">
        <f>前提!$C$8*3</f>
        <v/>
      </c>
      <c r="M11" s="81">
        <f>前提!$C$8*3</f>
        <v/>
      </c>
      <c r="N11" s="81">
        <f>前提!$C$8*3</f>
        <v/>
      </c>
    </row>
    <row r="12" ht="15" customHeight="1">
      <c r="B12" s="20" t="inlineStr">
        <is>
          <t>総売上 / Q</t>
        </is>
      </c>
      <c r="C12" s="80">
        <f>C10+C11</f>
        <v/>
      </c>
      <c r="D12" s="80">
        <f>D10+D11</f>
        <v/>
      </c>
      <c r="E12" s="80">
        <f>E10+E11</f>
        <v/>
      </c>
      <c r="F12" s="80">
        <f>F10+F11</f>
        <v/>
      </c>
      <c r="G12" s="80">
        <f>G10+G11</f>
        <v/>
      </c>
      <c r="H12" s="80">
        <f>H10+H11</f>
        <v/>
      </c>
      <c r="I12" s="80">
        <f>I10+I11</f>
        <v/>
      </c>
      <c r="J12" s="80">
        <f>J10+J11</f>
        <v/>
      </c>
      <c r="K12" s="80">
        <f>K10+K11</f>
        <v/>
      </c>
      <c r="L12" s="80">
        <f>L10+L11</f>
        <v/>
      </c>
      <c r="M12" s="80">
        <f>M10+M11</f>
        <v/>
      </c>
      <c r="N12" s="80">
        <f>N10+N11</f>
        <v/>
      </c>
    </row>
    <row r="13" ht="15" customHeight="1">
      <c r="B13" s="4" t="inlineStr">
        <is>
          <t>損益分岐 / Q</t>
        </is>
      </c>
      <c r="C13" s="81">
        <f>前提!$C$7*3</f>
        <v/>
      </c>
      <c r="D13" s="81">
        <f>前提!$C$7*3</f>
        <v/>
      </c>
      <c r="E13" s="81">
        <f>前提!$C$7*3</f>
        <v/>
      </c>
      <c r="F13" s="81">
        <f>前提!$C$7*3</f>
        <v/>
      </c>
      <c r="G13" s="81">
        <f>前提!$C$7*3</f>
        <v/>
      </c>
      <c r="H13" s="81">
        <f>前提!$C$7*3</f>
        <v/>
      </c>
      <c r="I13" s="81">
        <f>前提!$C$7*3</f>
        <v/>
      </c>
      <c r="J13" s="81">
        <f>前提!$C$7*3</f>
        <v/>
      </c>
      <c r="K13" s="81">
        <f>前提!$C$7*3</f>
        <v/>
      </c>
      <c r="L13" s="81">
        <f>前提!$C$7*3</f>
        <v/>
      </c>
      <c r="M13" s="81">
        <f>前提!$C$7*3</f>
        <v/>
      </c>
      <c r="N13" s="81">
        <f>前提!$C$7*3</f>
        <v/>
      </c>
    </row>
    <row r="14" ht="15" customHeight="1">
      <c r="B14" s="23" t="inlineStr">
        <is>
          <t>四半期 収支（±）</t>
        </is>
      </c>
      <c r="C14" s="80">
        <f>C12-C13</f>
        <v/>
      </c>
      <c r="D14" s="80">
        <f>D12-D13</f>
        <v/>
      </c>
      <c r="E14" s="80">
        <f>E12-E13</f>
        <v/>
      </c>
      <c r="F14" s="80">
        <f>F12-F13</f>
        <v/>
      </c>
      <c r="G14" s="80">
        <f>G12-G13</f>
        <v/>
      </c>
      <c r="H14" s="80">
        <f>H12-H13</f>
        <v/>
      </c>
      <c r="I14" s="80">
        <f>I12-I13</f>
        <v/>
      </c>
      <c r="J14" s="80">
        <f>J12-J13</f>
        <v/>
      </c>
      <c r="K14" s="80">
        <f>K12-K13</f>
        <v/>
      </c>
      <c r="L14" s="80">
        <f>L12-L13</f>
        <v/>
      </c>
      <c r="M14" s="80">
        <f>M12-M13</f>
        <v/>
      </c>
      <c r="N14" s="80">
        <f>N12-N13</f>
        <v/>
      </c>
    </row>
    <row r="15" ht="15" customHeight="1">
      <c r="B15" s="24" t="inlineStr">
        <is>
          <t>四半期末 キャッシュ残高</t>
        </is>
      </c>
      <c r="C15" s="80">
        <f>前提!$C$6+C14</f>
        <v/>
      </c>
      <c r="D15" s="80">
        <f>C15+D14</f>
        <v/>
      </c>
      <c r="E15" s="80">
        <f>D15+E14</f>
        <v/>
      </c>
      <c r="F15" s="80">
        <f>E15+F14</f>
        <v/>
      </c>
      <c r="G15" s="80">
        <f>F15+G14</f>
        <v/>
      </c>
      <c r="H15" s="80">
        <f>G15+H14</f>
        <v/>
      </c>
      <c r="I15" s="80">
        <f>H15+I14</f>
        <v/>
      </c>
      <c r="J15" s="80">
        <f>I15+J14</f>
        <v/>
      </c>
      <c r="K15" s="80">
        <f>J15+K14</f>
        <v/>
      </c>
      <c r="L15" s="80">
        <f>K15+L14</f>
        <v/>
      </c>
      <c r="M15" s="80">
        <f>L15+M14</f>
        <v/>
      </c>
      <c r="N15" s="80">
        <f>M15+N14</f>
        <v/>
      </c>
    </row>
    <row r="17" ht="15" customHeight="1">
      <c r="B17" s="30" t="inlineStr">
        <is>
          <t>年間総売上</t>
        </is>
      </c>
      <c r="C17" s="86">
        <f>SUM(C12:F12)</f>
        <v/>
      </c>
      <c r="D17" s="86">
        <f>SUM(G12:J12)</f>
        <v/>
      </c>
      <c r="E17" s="86">
        <f>SUM(K12:N12)</f>
        <v/>
      </c>
    </row>
    <row r="18" ht="15" customHeight="1">
      <c r="B18" s="2" t="inlineStr">
        <is>
          <t>（C列=Year1, D列=Year2, E列=Year3 の合計）</t>
        </is>
      </c>
    </row>
    <row r="22" ht="15" customHeight="1">
      <c r="B22" s="25" t="inlineStr">
        <is>
          <t>年間総売上（C=Y1 / D=Y2 / E=Y3）</t>
        </is>
      </c>
      <c r="C22" s="87">
        <f>SUM(C12:F12)</f>
        <v/>
      </c>
      <c r="D22" s="87">
        <f>SUM(G12:J12)</f>
        <v/>
      </c>
      <c r="E22" s="87">
        <f>SUM(K12:N12)</f>
        <v/>
      </c>
    </row>
    <row r="23">
      <c r="B23" t="inlineStr">
        <is>
          <t>年間 費用合計（固定＋変動×12）</t>
        </is>
      </c>
      <c r="C23" s="67">
        <f>前提!$C$7*12</f>
        <v/>
      </c>
      <c r="D23" s="67">
        <f>前提!$C$7*12</f>
        <v/>
      </c>
      <c r="E23" s="67">
        <f>前提!$C$7*12</f>
        <v/>
      </c>
    </row>
    <row r="24">
      <c r="B24" s="76" t="inlineStr">
        <is>
          <t>年間 営業利益（税引前）</t>
        </is>
      </c>
      <c r="C24" s="78">
        <f>C22-C23</f>
        <v/>
      </c>
      <c r="D24" s="78">
        <f>D22-D23</f>
        <v/>
      </c>
      <c r="E24" s="78">
        <f>E22-E23</f>
        <v/>
      </c>
    </row>
    <row r="25">
      <c r="B25" t="inlineStr">
        <is>
          <t>年間 消費税（簡易課税）</t>
        </is>
      </c>
      <c r="C25" s="67">
        <f>C22*前提!$C$24*(1-前提!$C$23)</f>
        <v/>
      </c>
      <c r="D25" s="67">
        <f>D22*前提!$C$24*(1-前提!$C$23)</f>
        <v/>
      </c>
      <c r="E25" s="67">
        <f>E22*前提!$C$24*(1-前提!$C$23)</f>
        <v/>
      </c>
    </row>
    <row r="26">
      <c r="B26" s="76" t="inlineStr">
        <is>
          <t>年間 法人税等</t>
        </is>
      </c>
      <c r="C26" s="78">
        <f>MAX(前提!$C$26,C24*前提!$C$25)</f>
        <v/>
      </c>
      <c r="D26" s="78">
        <f>MAX(前提!$C$26,D24*前提!$C$25)</f>
        <v/>
      </c>
      <c r="E26" s="78">
        <f>MAX(前提!$C$26,E24*前提!$C$25)</f>
        <v/>
      </c>
    </row>
    <row r="27">
      <c r="B27" s="76" t="inlineStr">
        <is>
          <t>年間 税引後収支</t>
        </is>
      </c>
      <c r="C27" s="78">
        <f>C24-C26</f>
        <v/>
      </c>
      <c r="D27" s="78">
        <f>D24-D26</f>
        <v/>
      </c>
      <c r="E27" s="78">
        <f>E24-E26</f>
        <v/>
      </c>
    </row>
    <row r="28">
      <c r="B28" t="inlineStr">
        <is>
          <t>★引当（消費税＋法人税・別口座へ）</t>
        </is>
      </c>
      <c r="C28" s="67">
        <f>C25+C26</f>
        <v/>
      </c>
      <c r="D28" s="67">
        <f>D25+D26</f>
        <v/>
      </c>
      <c r="E28" s="67">
        <f>E25+E26</f>
        <v/>
      </c>
    </row>
    <row r="29">
      <c r="B29" t="inlineStr">
        <is>
          <t>（注）Y1は四半期計画の数量。月次積上のPL_損益_Y1とは数量前提が別。法人税は費用増で自動的に減る。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3" customWidth="1" min="1" max="1"/>
    <col width="100" customWidth="1" min="2" max="2"/>
  </cols>
  <sheetData>
    <row r="2" ht="21.75" customHeight="1">
      <c r="B2" s="1" t="inlineStr">
        <is>
          <t>このモデルの読み方</t>
        </is>
      </c>
    </row>
    <row r="3" ht="15" customHeight="1">
      <c r="B3" s="33" t="n"/>
    </row>
    <row r="4" ht="15" customHeight="1">
      <c r="B4" s="34" t="inlineStr">
        <is>
          <t>■ 何を打ち替えればいいか</t>
        </is>
      </c>
    </row>
    <row r="5" ht="15" customHeight="1">
      <c r="B5" s="35" t="inlineStr">
        <is>
          <t xml:space="preserve">　・黄色いセル（青字）だけを変えてください。黒字は自動計算なので触らない。</t>
        </is>
      </c>
    </row>
    <row r="6" ht="15" customHeight="1">
      <c r="B6" s="35" t="inlineStr">
        <is>
          <t xml:space="preserve">　・「前提」シートで単価・分岐点・滑走路を変えると、全シートに反映されます。</t>
        </is>
      </c>
    </row>
    <row r="7" ht="15" customHeight="1">
      <c r="B7" s="35" t="inlineStr">
        <is>
          <t xml:space="preserve">　・「Year1_月次」「3年_四半期」では、各月/各Qの "数量"（診断件数・伴走社数・ライト社数）を変えます。</t>
        </is>
      </c>
    </row>
    <row r="8" ht="15" customHeight="1">
      <c r="B8" s="33" t="n"/>
    </row>
    <row r="9" ht="15" customHeight="1">
      <c r="B9" s="34" t="inlineStr">
        <is>
          <t>■ どこを見れば「死なない」と分かるか</t>
        </is>
      </c>
    </row>
    <row r="10" ht="29.25" customHeight="1">
      <c r="B10" s="35" t="inlineStr">
        <is>
          <t xml:space="preserve">　・Year1_月次シートの「初年度の最低残高（滑走路の底）」。ここがプラスなら、負の連鎖で資金が尽きることはありません。</t>
        </is>
      </c>
    </row>
    <row r="11" ht="15" customHeight="1">
      <c r="B11" s="35" t="inlineStr">
        <is>
          <t xml:space="preserve">　・現在の慎重シナリオでは、底は初月の約190万円。初期200万からほぼ減らずに立ち上がります。</t>
        </is>
      </c>
    </row>
    <row r="12" ht="15" customHeight="1">
      <c r="B12" s="33" t="n"/>
    </row>
    <row r="13" ht="15" customHeight="1">
      <c r="B13" s="34" t="inlineStr">
        <is>
          <t>■ この事業の構造的な強み（数字が示すこと）</t>
        </is>
      </c>
    </row>
    <row r="14" ht="15" customHeight="1">
      <c r="B14" s="35" t="inlineStr">
        <is>
          <t xml:space="preserve">　・損益分岐 月50万に対し、既存受託が月40万。埋めるべき差は月10万だけ。</t>
        </is>
      </c>
    </row>
    <row r="15" ht="15" customHeight="1">
      <c r="B15" s="35" t="inlineStr">
        <is>
          <t xml:space="preserve">　・診断1社（10万）でその月は分岐点に到達。伴走1社（月75万）に上がれば即黒字。ハードルは低い。</t>
        </is>
      </c>
    </row>
    <row r="16" ht="15" customHeight="1">
      <c r="B16" s="35" t="inlineStr">
        <is>
          <t xml:space="preserve">　・濃い伴走は上限3社（品質方針）。3社目以降は売上でなく、資産化・ライト層・1対Nで伸ばす設計。</t>
        </is>
      </c>
    </row>
    <row r="17" ht="15" customHeight="1">
      <c r="B17" s="33" t="n"/>
    </row>
    <row r="18" ht="15" customHeight="1">
      <c r="B18" s="34" t="inlineStr">
        <is>
          <t>■ 注意（このモデルが扱っていないリスク）</t>
        </is>
      </c>
    </row>
    <row r="19" ht="15" customHeight="1">
      <c r="B19" s="35" t="inlineStr">
        <is>
          <t xml:space="preserve">　・代替不能性：あなたが倒れると伴走が止まる。だから現金の厚みと協力者の関係維持が保険になる。</t>
        </is>
      </c>
    </row>
    <row r="20" ht="29.25" customHeight="1">
      <c r="B20" s="35" t="inlineStr">
        <is>
          <t xml:space="preserve">　・協力者（コーダー1・デザイナー1）は副業の隙間稼働。戦力でなく薄い保険として扱い、稼働を前提に商品を組まない。</t>
        </is>
      </c>
    </row>
    <row r="21" ht="15" customHeight="1">
      <c r="B21" s="35" t="inlineStr">
        <is>
          <t xml:space="preserve">　・売上の上振れより、滑走路を守る判断を優先。筋の通らない案件を承認欲で取らない（判断基準に戻る）。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3" customWidth="1" min="1" max="1"/>
    <col width="26" customWidth="1" min="2" max="2"/>
    <col width="10" customWidth="1" min="3" max="14"/>
    <col width="12" customWidth="1" min="15" max="15"/>
  </cols>
  <sheetData>
    <row r="2" ht="21.75" customHeight="1">
      <c r="B2" s="16" t="inlineStr">
        <is>
          <t>Year1 月次 損益計算書（P/L）</t>
        </is>
      </c>
    </row>
    <row r="3" ht="15" customHeight="1">
      <c r="B3" s="2" t="inlineStr">
        <is>
          <t>売上は「Year1_月次」から自動リンク（緑字）。費用は「前提」から。消費税は預かりのため売上から除外＝税抜ベース。</t>
        </is>
      </c>
    </row>
    <row r="5" ht="15" customHeight="1">
      <c r="B5" s="3" t="inlineStr">
        <is>
          <t>項目</t>
        </is>
      </c>
      <c r="C5" s="17" t="inlineStr">
        <is>
          <t>1月</t>
        </is>
      </c>
      <c r="D5" s="17" t="inlineStr">
        <is>
          <t>2月</t>
        </is>
      </c>
      <c r="E5" s="17" t="inlineStr">
        <is>
          <t>3月</t>
        </is>
      </c>
      <c r="F5" s="17" t="inlineStr">
        <is>
          <t>4月</t>
        </is>
      </c>
      <c r="G5" s="17" t="inlineStr">
        <is>
          <t>5月</t>
        </is>
      </c>
      <c r="H5" s="17" t="inlineStr">
        <is>
          <t>6月</t>
        </is>
      </c>
      <c r="I5" s="17" t="inlineStr">
        <is>
          <t>7月</t>
        </is>
      </c>
      <c r="J5" s="17" t="inlineStr">
        <is>
          <t>8月</t>
        </is>
      </c>
      <c r="K5" s="17" t="inlineStr">
        <is>
          <t>9月</t>
        </is>
      </c>
      <c r="L5" s="17" t="inlineStr">
        <is>
          <t>10月</t>
        </is>
      </c>
      <c r="M5" s="17" t="inlineStr">
        <is>
          <t>11月</t>
        </is>
      </c>
      <c r="N5" s="17" t="inlineStr">
        <is>
          <t>12月</t>
        </is>
      </c>
      <c r="O5" s="36" t="inlineStr">
        <is>
          <t>年計</t>
        </is>
      </c>
    </row>
    <row r="6" ht="15" customHeight="1">
      <c r="B6" s="20" t="inlineStr">
        <is>
          <t>売上高（税抜）</t>
        </is>
      </c>
      <c r="C6" s="81">
        <f>Year1_月次!C13</f>
        <v/>
      </c>
      <c r="D6" s="81">
        <f>Year1_月次!D13</f>
        <v/>
      </c>
      <c r="E6" s="81">
        <f>Year1_月次!E13</f>
        <v/>
      </c>
      <c r="F6" s="81">
        <f>Year1_月次!F13</f>
        <v/>
      </c>
      <c r="G6" s="81">
        <f>Year1_月次!G13</f>
        <v/>
      </c>
      <c r="H6" s="81">
        <f>Year1_月次!H13</f>
        <v/>
      </c>
      <c r="I6" s="81">
        <f>Year1_月次!I13</f>
        <v/>
      </c>
      <c r="J6" s="81">
        <f>Year1_月次!J13</f>
        <v/>
      </c>
      <c r="K6" s="81">
        <f>Year1_月次!K13</f>
        <v/>
      </c>
      <c r="L6" s="81">
        <f>Year1_月次!L13</f>
        <v/>
      </c>
      <c r="M6" s="81">
        <f>Year1_月次!M13</f>
        <v/>
      </c>
      <c r="N6" s="81">
        <f>Year1_月次!N13</f>
        <v/>
      </c>
      <c r="O6" s="86">
        <f>SUM(C6:N6)</f>
        <v/>
      </c>
    </row>
    <row r="8" ht="15" customHeight="1">
      <c r="B8" s="4" t="inlineStr">
        <is>
          <t>役員報酬</t>
        </is>
      </c>
      <c r="C8" s="81">
        <f>前提!$C$20</f>
        <v/>
      </c>
      <c r="D8" s="81">
        <f>前提!$C$20</f>
        <v/>
      </c>
      <c r="E8" s="81">
        <f>前提!$C$20</f>
        <v/>
      </c>
      <c r="F8" s="81">
        <f>前提!$C$20</f>
        <v/>
      </c>
      <c r="G8" s="81">
        <f>前提!$C$20</f>
        <v/>
      </c>
      <c r="H8" s="81">
        <f>前提!$C$20</f>
        <v/>
      </c>
      <c r="I8" s="81">
        <f>前提!$C$20</f>
        <v/>
      </c>
      <c r="J8" s="81">
        <f>前提!$C$20</f>
        <v/>
      </c>
      <c r="K8" s="81">
        <f>前提!$C$20</f>
        <v/>
      </c>
      <c r="L8" s="81">
        <f>前提!$C$20</f>
        <v/>
      </c>
      <c r="M8" s="81">
        <f>前提!$C$20</f>
        <v/>
      </c>
      <c r="N8" s="81">
        <f>前提!$C$20</f>
        <v/>
      </c>
      <c r="O8" s="88">
        <f>SUM(C8:N8)</f>
        <v/>
      </c>
    </row>
    <row r="9" ht="15" customHeight="1">
      <c r="B9" s="4" t="inlineStr">
        <is>
          <t>法定福利費（社保・会社）</t>
        </is>
      </c>
      <c r="C9" s="81">
        <f>前提!$C$21</f>
        <v/>
      </c>
      <c r="D9" s="81">
        <f>前提!$C$21</f>
        <v/>
      </c>
      <c r="E9" s="81">
        <f>前提!$C$21</f>
        <v/>
      </c>
      <c r="F9" s="81">
        <f>前提!$C$21</f>
        <v/>
      </c>
      <c r="G9" s="81">
        <f>前提!$C$21</f>
        <v/>
      </c>
      <c r="H9" s="81">
        <f>前提!$C$21</f>
        <v/>
      </c>
      <c r="I9" s="81">
        <f>前提!$C$21</f>
        <v/>
      </c>
      <c r="J9" s="81">
        <f>前提!$C$21</f>
        <v/>
      </c>
      <c r="K9" s="81">
        <f>前提!$C$21</f>
        <v/>
      </c>
      <c r="L9" s="81">
        <f>前提!$C$21</f>
        <v/>
      </c>
      <c r="M9" s="81">
        <f>前提!$C$21</f>
        <v/>
      </c>
      <c r="N9" s="81">
        <f>前提!$C$21</f>
        <v/>
      </c>
      <c r="O9" s="88">
        <f>SUM(C9:N9)</f>
        <v/>
      </c>
    </row>
    <row r="10" ht="15" customHeight="1">
      <c r="B10" s="4" t="inlineStr">
        <is>
          <t>販管費</t>
        </is>
      </c>
      <c r="C10" s="81">
        <f>前提!$C$22</f>
        <v/>
      </c>
      <c r="D10" s="81">
        <f>前提!$C$22</f>
        <v/>
      </c>
      <c r="E10" s="81">
        <f>前提!$C$22</f>
        <v/>
      </c>
      <c r="F10" s="81">
        <f>前提!$C$22</f>
        <v/>
      </c>
      <c r="G10" s="81">
        <f>前提!$C$22</f>
        <v/>
      </c>
      <c r="H10" s="81">
        <f>前提!$C$22</f>
        <v/>
      </c>
      <c r="I10" s="81">
        <f>前提!$C$22</f>
        <v/>
      </c>
      <c r="J10" s="81">
        <f>前提!$C$22</f>
        <v/>
      </c>
      <c r="K10" s="81">
        <f>前提!$C$22</f>
        <v/>
      </c>
      <c r="L10" s="81">
        <f>前提!$C$22</f>
        <v/>
      </c>
      <c r="M10" s="81">
        <f>前提!$C$22</f>
        <v/>
      </c>
      <c r="N10" s="81">
        <f>前提!$C$22</f>
        <v/>
      </c>
      <c r="O10" s="88">
        <f>SUM(C10:N10)</f>
        <v/>
      </c>
    </row>
    <row r="11" ht="15" customHeight="1">
      <c r="B11" s="38" t="inlineStr">
        <is>
          <t>費用 合計</t>
        </is>
      </c>
      <c r="C11" s="80">
        <f>C8+C9+C10</f>
        <v/>
      </c>
      <c r="D11" s="80">
        <f>D8+D9+D10</f>
        <v/>
      </c>
      <c r="E11" s="80">
        <f>E8+E9+E10</f>
        <v/>
      </c>
      <c r="F11" s="80">
        <f>F8+F9+F10</f>
        <v/>
      </c>
      <c r="G11" s="80">
        <f>G8+G9+G10</f>
        <v/>
      </c>
      <c r="H11" s="80">
        <f>H8+H9+H10</f>
        <v/>
      </c>
      <c r="I11" s="80">
        <f>I8+I9+I10</f>
        <v/>
      </c>
      <c r="J11" s="80">
        <f>J8+J9+J10</f>
        <v/>
      </c>
      <c r="K11" s="80">
        <f>K8+K9+K10</f>
        <v/>
      </c>
      <c r="L11" s="80">
        <f>L8+L9+L10</f>
        <v/>
      </c>
      <c r="M11" s="80">
        <f>M8+M9+M10</f>
        <v/>
      </c>
      <c r="N11" s="80">
        <f>N8+N9+N10</f>
        <v/>
      </c>
      <c r="O11" s="88">
        <f>SUM(C11:N11)</f>
        <v/>
      </c>
    </row>
    <row r="13" ht="15" customHeight="1">
      <c r="B13" s="24" t="inlineStr">
        <is>
          <t>営業利益（税引前）</t>
        </is>
      </c>
      <c r="C13" s="80">
        <f>C6-C11</f>
        <v/>
      </c>
      <c r="D13" s="80">
        <f>D6-D11</f>
        <v/>
      </c>
      <c r="E13" s="80">
        <f>E6-E11</f>
        <v/>
      </c>
      <c r="F13" s="80">
        <f>F6-F11</f>
        <v/>
      </c>
      <c r="G13" s="80">
        <f>G6-G11</f>
        <v/>
      </c>
      <c r="H13" s="80">
        <f>H6-H11</f>
        <v/>
      </c>
      <c r="I13" s="80">
        <f>I6-I11</f>
        <v/>
      </c>
      <c r="J13" s="80">
        <f>J6-J11</f>
        <v/>
      </c>
      <c r="K13" s="80">
        <f>K6-K11</f>
        <v/>
      </c>
      <c r="L13" s="80">
        <f>L6-L11</f>
        <v/>
      </c>
      <c r="M13" s="80">
        <f>M6-M11</f>
        <v/>
      </c>
      <c r="N13" s="80">
        <f>N6-N11</f>
        <v/>
      </c>
      <c r="O13" s="89">
        <f>SUM(C13:N13)</f>
        <v/>
      </c>
    </row>
    <row r="15" ht="15" customHeight="1">
      <c r="B15" s="25" t="inlineStr">
        <is>
          <t>【年次の税金（翌期納付＝現金の引当が必要）】</t>
        </is>
      </c>
    </row>
    <row r="16" ht="36.75" customHeight="1">
      <c r="B16" s="4" t="inlineStr">
        <is>
          <t>消費税（簡易課税）</t>
        </is>
      </c>
      <c r="C16" s="40" t="inlineStr">
        <is>
          <t>売上消費税×(1−みなし50%)</t>
        </is>
      </c>
      <c r="O16" s="90">
        <f>O6*前提!$C$24*(1-前提!$C$23)</f>
        <v/>
      </c>
    </row>
    <row r="17" ht="39" customHeight="1">
      <c r="B17" s="4" t="inlineStr">
        <is>
          <t>法人税等</t>
        </is>
      </c>
      <c r="C17" s="40" t="inlineStr">
        <is>
          <t>利益×実効税率 と 均等割 の大きい方</t>
        </is>
      </c>
      <c r="O17" s="90">
        <f>MAX(前提!$C$26,O13*前提!$C$25)</f>
        <v/>
      </c>
    </row>
    <row r="18" ht="15" customHeight="1">
      <c r="B18" s="4" t="inlineStr">
        <is>
          <t>税引後利益</t>
        </is>
      </c>
      <c r="C18" s="40" t="n"/>
      <c r="O18" s="89">
        <f>O13-O17</f>
        <v/>
      </c>
    </row>
    <row r="19" ht="39" customHeight="1">
      <c r="B19" s="4" t="inlineStr">
        <is>
          <t>★引当てる税金合計（別口座へ）</t>
        </is>
      </c>
      <c r="C19" s="40" t="inlineStr">
        <is>
          <t>この現金は「使ってはいけない」</t>
        </is>
      </c>
      <c r="O19" s="91">
        <f>O16+O17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4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3" customWidth="1" min="1" max="1"/>
    <col width="30" customWidth="1" min="2" max="2"/>
    <col width="12.453125" bestFit="1" customWidth="1" min="3" max="3"/>
    <col width="11" customWidth="1" min="4" max="15"/>
  </cols>
  <sheetData>
    <row r="2" ht="21.75" customHeight="1">
      <c r="B2" s="16" t="inlineStr">
        <is>
          <t>Year1 月次 キャッシュフロー（税金引当込み）</t>
        </is>
      </c>
    </row>
    <row r="3" ht="15" customHeight="1">
      <c r="B3" s="2" t="inlineStr">
        <is>
          <t>「手元現金」と「税金を避けた後の“本当に使える現金”」を分けて表示。納付月の事故を防ぐ。</t>
        </is>
      </c>
    </row>
    <row r="5" ht="15" customHeight="1">
      <c r="B5" s="3" t="inlineStr">
        <is>
          <t>項目</t>
        </is>
      </c>
      <c r="C5" s="17" t="inlineStr">
        <is>
          <t>1月</t>
        </is>
      </c>
      <c r="D5" s="17" t="inlineStr">
        <is>
          <t>2月</t>
        </is>
      </c>
      <c r="E5" s="17" t="inlineStr">
        <is>
          <t>3月</t>
        </is>
      </c>
      <c r="F5" s="17" t="inlineStr">
        <is>
          <t>4月</t>
        </is>
      </c>
      <c r="G5" s="17" t="inlineStr">
        <is>
          <t>5月</t>
        </is>
      </c>
      <c r="H5" s="17" t="inlineStr">
        <is>
          <t>6月</t>
        </is>
      </c>
      <c r="I5" s="17" t="inlineStr">
        <is>
          <t>7月</t>
        </is>
      </c>
      <c r="J5" s="17" t="inlineStr">
        <is>
          <t>8月</t>
        </is>
      </c>
      <c r="K5" s="17" t="inlineStr">
        <is>
          <t>9月</t>
        </is>
      </c>
      <c r="L5" s="17" t="inlineStr">
        <is>
          <t>10月</t>
        </is>
      </c>
      <c r="M5" s="17" t="inlineStr">
        <is>
          <t>11月</t>
        </is>
      </c>
      <c r="N5" s="17" t="inlineStr">
        <is>
          <t>12月</t>
        </is>
      </c>
    </row>
    <row r="6" ht="15" customHeight="1">
      <c r="B6" s="23" t="inlineStr">
        <is>
          <t>営業利益（月次）</t>
        </is>
      </c>
      <c r="C6" s="81">
        <f>PL_損益_Y1!C13</f>
        <v/>
      </c>
      <c r="D6" s="81">
        <f>PL_損益_Y1!D13</f>
        <v/>
      </c>
      <c r="E6" s="81">
        <f>PL_損益_Y1!E13</f>
        <v/>
      </c>
      <c r="F6" s="81">
        <f>PL_損益_Y1!F13</f>
        <v/>
      </c>
      <c r="G6" s="81">
        <f>PL_損益_Y1!G13</f>
        <v/>
      </c>
      <c r="H6" s="81">
        <f>PL_損益_Y1!H13</f>
        <v/>
      </c>
      <c r="I6" s="81">
        <f>PL_損益_Y1!I13</f>
        <v/>
      </c>
      <c r="J6" s="81">
        <f>PL_損益_Y1!J13</f>
        <v/>
      </c>
      <c r="K6" s="81">
        <f>PL_損益_Y1!K13</f>
        <v/>
      </c>
      <c r="L6" s="81">
        <f>PL_損益_Y1!L13</f>
        <v/>
      </c>
      <c r="M6" s="81">
        <f>PL_損益_Y1!M13</f>
        <v/>
      </c>
      <c r="N6" s="81">
        <f>PL_損益_Y1!N13</f>
        <v/>
      </c>
    </row>
    <row r="7" ht="15" customHeight="1">
      <c r="B7" s="38" t="inlineStr">
        <is>
          <t>手元現金 残高</t>
        </is>
      </c>
      <c r="C7" s="80">
        <f>前提!$C$6+C6</f>
        <v/>
      </c>
      <c r="D7" s="80">
        <f>C7+D6</f>
        <v/>
      </c>
      <c r="E7" s="80">
        <f>D7+E6</f>
        <v/>
      </c>
      <c r="F7" s="80">
        <f>E7+F6</f>
        <v/>
      </c>
      <c r="G7" s="80">
        <f>F7+G6</f>
        <v/>
      </c>
      <c r="H7" s="80">
        <f>G7+H6</f>
        <v/>
      </c>
      <c r="I7" s="80">
        <f>H7+I6</f>
        <v/>
      </c>
      <c r="J7" s="80">
        <f>I7+J6</f>
        <v/>
      </c>
      <c r="K7" s="80">
        <f>J7+K6</f>
        <v/>
      </c>
      <c r="L7" s="80">
        <f>K7+L6</f>
        <v/>
      </c>
      <c r="M7" s="80">
        <f>L7+M6</f>
        <v/>
      </c>
      <c r="N7" s="80">
        <f>M7+N6</f>
        <v/>
      </c>
    </row>
    <row r="9" ht="15" customHeight="1">
      <c r="B9" s="4" t="inlineStr">
        <is>
          <t>累計 税金引当（避ける額）</t>
        </is>
      </c>
      <c r="C9" s="92">
        <f>PL_損益_Y1!$O$19/12*1</f>
        <v/>
      </c>
      <c r="D9" s="92">
        <f>PL_損益_Y1!$O$19/12*2</f>
        <v/>
      </c>
      <c r="E9" s="92">
        <f>PL_損益_Y1!$O$19/12*3</f>
        <v/>
      </c>
      <c r="F9" s="92">
        <f>PL_損益_Y1!$O$19/12*4</f>
        <v/>
      </c>
      <c r="G9" s="92">
        <f>PL_損益_Y1!$O$19/12*5</f>
        <v/>
      </c>
      <c r="H9" s="92">
        <f>PL_損益_Y1!$O$19/12*6</f>
        <v/>
      </c>
      <c r="I9" s="92">
        <f>PL_損益_Y1!$O$19/12*7</f>
        <v/>
      </c>
      <c r="J9" s="92">
        <f>PL_損益_Y1!$O$19/12*8</f>
        <v/>
      </c>
      <c r="K9" s="92">
        <f>PL_損益_Y1!$O$19/12*9</f>
        <v/>
      </c>
      <c r="L9" s="92">
        <f>PL_損益_Y1!$O$19/12*10</f>
        <v/>
      </c>
      <c r="M9" s="92">
        <f>PL_損益_Y1!$O$19/12*11</f>
        <v/>
      </c>
      <c r="N9" s="92">
        <f>PL_損益_Y1!$O$19/12*12</f>
        <v/>
      </c>
    </row>
    <row r="10" ht="15" customHeight="1">
      <c r="B10" s="44" t="inlineStr">
        <is>
          <t>★本当に使える現金</t>
        </is>
      </c>
      <c r="C10" s="93">
        <f>C7-C9</f>
        <v/>
      </c>
      <c r="D10" s="93">
        <f>D7-D9</f>
        <v/>
      </c>
      <c r="E10" s="93">
        <f>E7-E9</f>
        <v/>
      </c>
      <c r="F10" s="93">
        <f>F7-F9</f>
        <v/>
      </c>
      <c r="G10" s="93">
        <f>G7-G9</f>
        <v/>
      </c>
      <c r="H10" s="93">
        <f>H7-H9</f>
        <v/>
      </c>
      <c r="I10" s="93">
        <f>I7-I9</f>
        <v/>
      </c>
      <c r="J10" s="93">
        <f>J7-J9</f>
        <v/>
      </c>
      <c r="K10" s="93">
        <f>K7-K9</f>
        <v/>
      </c>
      <c r="L10" s="93">
        <f>L7-L9</f>
        <v/>
      </c>
      <c r="M10" s="93">
        <f>M7-M9</f>
        <v/>
      </c>
      <c r="N10" s="93">
        <f>N7-N9</f>
        <v/>
      </c>
    </row>
    <row r="12" ht="15" customHeight="1">
      <c r="B12" s="25" t="inlineStr">
        <is>
          <t>年末 手元現金</t>
        </is>
      </c>
      <c r="C12" s="94">
        <f>N7</f>
        <v/>
      </c>
    </row>
    <row r="13" ht="15" customHeight="1">
      <c r="B13" s="25" t="inlineStr">
        <is>
          <t>年末 本当に使える現金（税引当後）</t>
        </is>
      </c>
      <c r="C13" s="84">
        <f>N10</f>
        <v/>
      </c>
    </row>
    <row r="14" ht="15" customHeight="1">
      <c r="B14" s="25" t="inlineStr">
        <is>
          <t>本当に使える現金の最低値（底）</t>
        </is>
      </c>
      <c r="C14" s="84">
        <f>MIN(C10:N10)</f>
        <v/>
      </c>
      <c r="D14" s="2" t="inlineStr">
        <is>
          <t>← ここがプラスなら、税金を避けても資金は尽きない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N16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3" customWidth="1" min="1" max="1"/>
    <col width="30" customWidth="1" min="2" max="2"/>
    <col width="10" customWidth="1" min="3" max="14"/>
  </cols>
  <sheetData>
    <row r="2" ht="21.75" customHeight="1">
      <c r="B2" s="16" t="inlineStr">
        <is>
          <t>Year1 営業ファネル — 登壇・自前コンテンツ版（受注に必要な活動量）</t>
        </is>
      </c>
    </row>
    <row r="3" ht="15" customHeight="1">
      <c r="B3" s="47" t="inlineStr">
        <is>
          <t>「診断を何件取る」の裏で、毎月何回 登壇/発信が要るかを逆算。営業時間が週1日に収まるかを検証。</t>
        </is>
      </c>
    </row>
    <row r="5" ht="15" customHeight="1">
      <c r="B5" s="11" t="inlineStr">
        <is>
          <t>項目</t>
        </is>
      </c>
      <c r="C5" s="17" t="inlineStr">
        <is>
          <t>1月</t>
        </is>
      </c>
      <c r="D5" s="17" t="inlineStr">
        <is>
          <t>2月</t>
        </is>
      </c>
      <c r="E5" s="17" t="inlineStr">
        <is>
          <t>3月</t>
        </is>
      </c>
      <c r="F5" s="17" t="inlineStr">
        <is>
          <t>4月</t>
        </is>
      </c>
      <c r="G5" s="17" t="inlineStr">
        <is>
          <t>5月</t>
        </is>
      </c>
      <c r="H5" s="17" t="inlineStr">
        <is>
          <t>6月</t>
        </is>
      </c>
      <c r="I5" s="17" t="inlineStr">
        <is>
          <t>7月</t>
        </is>
      </c>
      <c r="J5" s="17" t="inlineStr">
        <is>
          <t>8月</t>
        </is>
      </c>
      <c r="K5" s="17" t="inlineStr">
        <is>
          <t>9月</t>
        </is>
      </c>
      <c r="L5" s="17" t="inlineStr">
        <is>
          <t>10月</t>
        </is>
      </c>
      <c r="M5" s="17" t="inlineStr">
        <is>
          <t>11月</t>
        </is>
      </c>
      <c r="N5" s="17" t="inlineStr">
        <is>
          <t>12月</t>
        </is>
      </c>
    </row>
    <row r="6" ht="15" customHeight="1">
      <c r="B6" s="48" t="inlineStr">
        <is>
          <t>新規診断 目標（件）</t>
        </is>
      </c>
      <c r="C6" s="49">
        <f>Year1_月次!C6+Year1_月次!C7</f>
        <v/>
      </c>
      <c r="D6" s="49">
        <f>Year1_月次!D6+Year1_月次!D7</f>
        <v/>
      </c>
      <c r="E6" s="49">
        <f>Year1_月次!E6+Year1_月次!E7</f>
        <v/>
      </c>
      <c r="F6" s="49">
        <f>Year1_月次!F6+Year1_月次!F7</f>
        <v/>
      </c>
      <c r="G6" s="49">
        <f>Year1_月次!G6+Year1_月次!G7</f>
        <v/>
      </c>
      <c r="H6" s="49">
        <f>Year1_月次!H6+Year1_月次!H7</f>
        <v/>
      </c>
      <c r="I6" s="49">
        <f>Year1_月次!I6+Year1_月次!I7</f>
        <v/>
      </c>
      <c r="J6" s="49">
        <f>Year1_月次!J6+Year1_月次!J7</f>
        <v/>
      </c>
      <c r="K6" s="49">
        <f>Year1_月次!K6+Year1_月次!K7</f>
        <v/>
      </c>
      <c r="L6" s="49">
        <f>Year1_月次!L6+Year1_月次!L7</f>
        <v/>
      </c>
      <c r="M6" s="49">
        <f>Year1_月次!M6+Year1_月次!M7</f>
        <v/>
      </c>
      <c r="N6" s="49">
        <f>Year1_月次!N6+Year1_月次!N7</f>
        <v/>
      </c>
    </row>
    <row r="7" ht="15" customHeight="1">
      <c r="B7" s="12" t="inlineStr">
        <is>
          <t>必要 無料相談（件）</t>
        </is>
      </c>
      <c r="C7" s="95">
        <f>C6/前提!$C$31</f>
        <v/>
      </c>
      <c r="D7" s="95">
        <f>D6/前提!$C$31</f>
        <v/>
      </c>
      <c r="E7" s="95">
        <f>E6/前提!$C$31</f>
        <v/>
      </c>
      <c r="F7" s="95">
        <f>F6/前提!$C$31</f>
        <v/>
      </c>
      <c r="G7" s="95">
        <f>G6/前提!$C$31</f>
        <v/>
      </c>
      <c r="H7" s="95">
        <f>H6/前提!$C$31</f>
        <v/>
      </c>
      <c r="I7" s="95">
        <f>I6/前提!$C$31</f>
        <v/>
      </c>
      <c r="J7" s="95">
        <f>J6/前提!$C$31</f>
        <v/>
      </c>
      <c r="K7" s="95">
        <f>K6/前提!$C$31</f>
        <v/>
      </c>
      <c r="L7" s="95">
        <f>L6/前提!$C$31</f>
        <v/>
      </c>
      <c r="M7" s="95">
        <f>M6/前提!$C$31</f>
        <v/>
      </c>
      <c r="N7" s="95">
        <f>N6/前提!$C$31</f>
        <v/>
      </c>
    </row>
    <row r="8" ht="15" customHeight="1">
      <c r="B8" s="51" t="inlineStr">
        <is>
          <t>必要 登壇回数（回）</t>
        </is>
      </c>
      <c r="C8" s="96">
        <f>C7/(前提!$C$29*前提!$C$30)</f>
        <v/>
      </c>
      <c r="D8" s="96">
        <f>D7/(前提!$C$29*前提!$C$30)</f>
        <v/>
      </c>
      <c r="E8" s="96">
        <f>E7/(前提!$C$29*前提!$C$30)</f>
        <v/>
      </c>
      <c r="F8" s="96">
        <f>F7/(前提!$C$29*前提!$C$30)</f>
        <v/>
      </c>
      <c r="G8" s="96">
        <f>G7/(前提!$C$29*前提!$C$30)</f>
        <v/>
      </c>
      <c r="H8" s="96">
        <f>H7/(前提!$C$29*前提!$C$30)</f>
        <v/>
      </c>
      <c r="I8" s="96">
        <f>I7/(前提!$C$29*前提!$C$30)</f>
        <v/>
      </c>
      <c r="J8" s="96">
        <f>J7/(前提!$C$29*前提!$C$30)</f>
        <v/>
      </c>
      <c r="K8" s="96">
        <f>K7/(前提!$C$29*前提!$C$30)</f>
        <v/>
      </c>
      <c r="L8" s="96">
        <f>L7/(前提!$C$29*前提!$C$30)</f>
        <v/>
      </c>
      <c r="M8" s="96">
        <f>M7/(前提!$C$29*前提!$C$30)</f>
        <v/>
      </c>
      <c r="N8" s="96">
        <f>N7/(前提!$C$29*前提!$C$30)</f>
        <v/>
      </c>
    </row>
    <row r="10" ht="15" customHeight="1">
      <c r="B10" s="53" t="inlineStr">
        <is>
          <t>営業 所要時間（h/月）</t>
        </is>
      </c>
      <c r="C10" s="96">
        <f>C8*前提!$C$33</f>
        <v/>
      </c>
      <c r="D10" s="96">
        <f>D8*前提!$C$33</f>
        <v/>
      </c>
      <c r="E10" s="96">
        <f>E8*前提!$C$33</f>
        <v/>
      </c>
      <c r="F10" s="96">
        <f>F8*前提!$C$33</f>
        <v/>
      </c>
      <c r="G10" s="96">
        <f>G8*前提!$C$33</f>
        <v/>
      </c>
      <c r="H10" s="96">
        <f>H8*前提!$C$33</f>
        <v/>
      </c>
      <c r="I10" s="96">
        <f>I8*前提!$C$33</f>
        <v/>
      </c>
      <c r="J10" s="96">
        <f>J8*前提!$C$33</f>
        <v/>
      </c>
      <c r="K10" s="96">
        <f>K8*前提!$C$33</f>
        <v/>
      </c>
      <c r="L10" s="96">
        <f>L8*前提!$C$33</f>
        <v/>
      </c>
      <c r="M10" s="96">
        <f>M8*前提!$C$33</f>
        <v/>
      </c>
      <c r="N10" s="96">
        <f>N8*前提!$C$33</f>
        <v/>
      </c>
    </row>
    <row r="11" ht="15" customHeight="1">
      <c r="B11" s="12" t="inlineStr">
        <is>
          <t>（参考）想定 伴走新規（社）</t>
        </is>
      </c>
      <c r="C11" s="95">
        <f>C6*前提!$C$32</f>
        <v/>
      </c>
      <c r="D11" s="95">
        <f>D6*前提!$C$32</f>
        <v/>
      </c>
      <c r="E11" s="95">
        <f>E6*前提!$C$32</f>
        <v/>
      </c>
      <c r="F11" s="95">
        <f>F6*前提!$C$32</f>
        <v/>
      </c>
      <c r="G11" s="95">
        <f>G6*前提!$C$32</f>
        <v/>
      </c>
      <c r="H11" s="95">
        <f>H6*前提!$C$32</f>
        <v/>
      </c>
      <c r="I11" s="95">
        <f>I6*前提!$C$32</f>
        <v/>
      </c>
      <c r="J11" s="95">
        <f>J6*前提!$C$32</f>
        <v/>
      </c>
      <c r="K11" s="95">
        <f>K6*前提!$C$32</f>
        <v/>
      </c>
      <c r="L11" s="95">
        <f>L6*前提!$C$32</f>
        <v/>
      </c>
      <c r="M11" s="95">
        <f>M6*前提!$C$32</f>
        <v/>
      </c>
      <c r="N11" s="95">
        <f>N6*前提!$C$32</f>
        <v/>
      </c>
    </row>
    <row r="13" ht="15" customHeight="1">
      <c r="B13" s="54" t="inlineStr">
        <is>
          <t>年間 必要アプローチ 合計</t>
        </is>
      </c>
      <c r="C13" s="55">
        <f>SUM(C8:N8)</f>
        <v/>
      </c>
    </row>
    <row r="14" ht="15" customHeight="1">
      <c r="B14" s="54" t="inlineStr">
        <is>
          <t>月平均 営業時間</t>
        </is>
      </c>
      <c r="C14" s="97">
        <f>AVERAGE(C10:N10)</f>
        <v/>
      </c>
      <c r="D14" s="47" t="inlineStr">
        <is>
          <t>← これが週の使える営業時間に収まるかを見る（目安：週1日＝月約32h）</t>
        </is>
      </c>
    </row>
    <row r="16">
      <c r="B16" t="inlineStr">
        <is>
          <t>（注）1登壇 ≒ 参加者×相談化率×成約率 の診断を生む。初回登壇は資料作成+集客で別途約20hの先行投資。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D22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3" customWidth="1" min="1" max="1"/>
    <col width="34" customWidth="1" min="2" max="2"/>
    <col width="16" customWidth="1" min="3" max="3"/>
    <col width="46" customWidth="1" min="4" max="4"/>
  </cols>
  <sheetData>
    <row r="2" ht="21.75" customHeight="1">
      <c r="B2" s="57" t="inlineStr">
        <is>
          <t>個人サバイバル — 会社とは別の“あなたの財布”</t>
        </is>
      </c>
    </row>
    <row r="3" ht="15" customHeight="1">
      <c r="B3" s="47" t="inlineStr">
        <is>
          <t>役員報酬7万では生活費に届かない。差額を貯蓄で何ヶ月もたせられるか。これが本当の滑走路。</t>
        </is>
      </c>
    </row>
    <row r="5" ht="15" customHeight="1">
      <c r="B5" s="12" t="inlineStr">
        <is>
          <t>個人の貯蓄（滑走路）</t>
        </is>
      </c>
      <c r="C5" s="98">
        <f>前提!$C$35</f>
        <v/>
      </c>
      <c r="D5" s="59" t="n"/>
    </row>
    <row r="6" ht="15" customHeight="1">
      <c r="B6" s="12" t="inlineStr">
        <is>
          <t>個人の生活費（月）</t>
        </is>
      </c>
      <c r="C6" s="98">
        <f>前提!$C$36</f>
        <v/>
      </c>
      <c r="D6" s="59" t="n"/>
    </row>
    <row r="7" ht="15" customHeight="1">
      <c r="B7" s="12" t="inlineStr">
        <is>
          <t>役員報酬（手取り≒額面）</t>
        </is>
      </c>
      <c r="C7" s="98">
        <f>前提!$C$20</f>
        <v/>
      </c>
      <c r="D7" s="60" t="inlineStr">
        <is>
          <t>概算。実際は所得税・社保で少し減る</t>
        </is>
      </c>
    </row>
    <row r="8" ht="15" customHeight="1">
      <c r="B8" s="61" t="inlineStr">
        <is>
          <t>月の不足額（生活費−報酬）</t>
        </is>
      </c>
      <c r="C8" s="90">
        <f>C6-C7</f>
        <v/>
      </c>
      <c r="D8" s="60" t="inlineStr">
        <is>
          <t>貯蓄から毎月出ていく額</t>
        </is>
      </c>
    </row>
    <row r="9" ht="15" customHeight="1">
      <c r="B9" s="61" t="inlineStr">
        <is>
          <t>個人サバイバル月数</t>
        </is>
      </c>
      <c r="C9" s="99">
        <f>IF(C8&lt;=0,999,C5/C8)</f>
        <v/>
      </c>
      <c r="D9" s="60" t="inlineStr">
        <is>
          <t>貯蓄が尽きるまでの月数</t>
        </is>
      </c>
    </row>
    <row r="11" ht="15" customHeight="1">
      <c r="B11" s="54" t="inlineStr">
        <is>
          <t>【意味】</t>
        </is>
      </c>
    </row>
    <row r="12" ht="44" customHeight="1">
      <c r="B12" s="63" t="inlineStr">
        <is>
          <t>・役員報酬を7万に下げると、会社の損益分岐は約18万に激減。既存受託40万だけで会社は黒字。</t>
        </is>
      </c>
    </row>
    <row r="13" ht="29.9" customHeight="1">
      <c r="B13" s="63" t="inlineStr">
        <is>
          <t>・つまり会社はすぐ黒字化し、貯蓄200万は会社の延命には使わない。</t>
        </is>
      </c>
    </row>
    <row r="14" ht="44" customHeight="1">
      <c r="B14" s="63" t="inlineStr">
        <is>
          <t>・本当の制約は「あなた個人」。生活費50万−報酬7万＝月43万を、貯蓄200万で約4.6ヶ月もたせる勝負。</t>
        </is>
      </c>
    </row>
    <row r="15" ht="44" customHeight="1">
      <c r="B15" s="63" t="inlineStr">
        <is>
          <t>・新規売上が立って会社に利益が貯まったら、Y2で役員報酬を上げて貯蓄の取り崩しを止める。</t>
        </is>
      </c>
    </row>
    <row r="16" ht="44" customHeight="1">
      <c r="B16" s="63" t="inlineStr">
        <is>
          <t>・注意：報酬を極端に下げると会社利益が増え法人税も増える。立ち上げ期の“現金温存”としては正しいが、</t>
        </is>
      </c>
    </row>
    <row r="17" ht="44" customHeight="1">
      <c r="B17" s="63" t="inlineStr">
        <is>
          <t xml:space="preserve">　軌道に乗ったら「法人税＋所得税＋社保」の合計が最小になる報酬額に最適化する。</t>
        </is>
      </c>
    </row>
    <row r="19">
      <c r="B19" s="76" t="inlineStr">
        <is>
          <t>― 役員社宅化の効果 ―</t>
        </is>
      </c>
    </row>
    <row r="20">
      <c r="B20" t="inlineStr">
        <is>
          <t>社宅化後の生活費（家賃が会社へ移る）</t>
        </is>
      </c>
      <c r="C20" s="67">
        <f>前提!C36-前提!C37+前提!C41</f>
        <v/>
      </c>
      <c r="D20" t="inlineStr">
        <is>
          <t>現生活費 − 現家賃 + 本人負担（賃貸料相当額）</t>
        </is>
      </c>
    </row>
    <row r="21">
      <c r="B21" t="inlineStr">
        <is>
          <t>社宅化後の月不足（生活費−報酬）</t>
        </is>
      </c>
      <c r="C21" s="67">
        <f>C20-前提!C20</f>
        <v/>
      </c>
    </row>
    <row r="22">
      <c r="B22" t="inlineStr">
        <is>
          <t>社宅化後の個人サバイバル月数</t>
        </is>
      </c>
      <c r="C22" s="101">
        <f>IF(C21&lt;=0,999,前提!C35/C21)</f>
        <v/>
      </c>
      <c r="D22" t="inlineStr">
        <is>
          <t>貯蓄が尽きるまでの月数（社宅化で延びる）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E14"/>
  <sheetViews>
    <sheetView workbookViewId="0">
      <selection activeCell="A1" sqref="A1"/>
    </sheetView>
  </sheetViews>
  <sheetFormatPr baseColWidth="8" defaultRowHeight="14.5"/>
  <cols>
    <col width="34" customWidth="1" min="2" max="2"/>
    <col width="14" customWidth="1" min="3" max="5"/>
  </cols>
  <sheetData>
    <row r="2" ht="15.5" customHeight="1">
      <c r="B2" s="65" t="inlineStr">
        <is>
          <t>3年 損益計算書（年次・会計レベル）</t>
        </is>
      </c>
    </row>
    <row r="3">
      <c r="B3" t="inlineStr">
        <is>
          <t>Y1=PL_損益_Y1（月次積上）／Y2・Y3=3年_四半期 の計画数量から自動リンク。役員報酬は7万据置（→Y2最適化は別タスク）。</t>
        </is>
      </c>
    </row>
    <row r="5">
      <c r="B5" s="66" t="inlineStr">
        <is>
          <t>項目</t>
        </is>
      </c>
      <c r="C5" s="66" t="inlineStr">
        <is>
          <t>Year1</t>
        </is>
      </c>
      <c r="D5" s="66" t="inlineStr">
        <is>
          <t>Year2</t>
        </is>
      </c>
      <c r="E5" s="66" t="inlineStr">
        <is>
          <t>Year3</t>
        </is>
      </c>
    </row>
    <row r="6">
      <c r="B6" t="inlineStr">
        <is>
          <t>売上高（税抜）</t>
        </is>
      </c>
      <c r="C6" s="67">
        <f>PL_損益_Y1!O6</f>
        <v/>
      </c>
      <c r="D6" s="67">
        <f>'3年_四半期'!D22</f>
        <v/>
      </c>
      <c r="E6" s="67">
        <f>'3年_四半期'!E22</f>
        <v/>
      </c>
    </row>
    <row r="7">
      <c r="B7" t="inlineStr">
        <is>
          <t>費用合計（役員報酬+社保+販管）</t>
        </is>
      </c>
      <c r="C7" s="67">
        <f>PL_損益_Y1!O11</f>
        <v/>
      </c>
      <c r="D7" s="67">
        <f>前提!C7*12</f>
        <v/>
      </c>
      <c r="E7" s="67">
        <f>前提!C7*12</f>
        <v/>
      </c>
    </row>
    <row r="8">
      <c r="B8" s="66" t="inlineStr">
        <is>
          <t>営業利益（税引前）</t>
        </is>
      </c>
      <c r="C8" s="68">
        <f>C6-C7</f>
        <v/>
      </c>
      <c r="D8" s="68">
        <f>D6-D7</f>
        <v/>
      </c>
      <c r="E8" s="68">
        <f>E6-E7</f>
        <v/>
      </c>
    </row>
    <row r="9">
      <c r="B9" t="inlineStr">
        <is>
          <t>消費税（簡易課税）</t>
        </is>
      </c>
      <c r="C9" s="67">
        <f>C6*前提!C24*(1-前提!C23)</f>
        <v/>
      </c>
      <c r="D9" s="67">
        <f>D6*前提!C24*(1-前提!C23)</f>
        <v/>
      </c>
      <c r="E9" s="67">
        <f>E6*前提!C24*(1-前提!C23)</f>
        <v/>
      </c>
    </row>
    <row r="10">
      <c r="B10" t="inlineStr">
        <is>
          <t>法人税等</t>
        </is>
      </c>
      <c r="C10" s="67">
        <f>MAX(前提!C26,C8*前提!C25)</f>
        <v/>
      </c>
      <c r="D10" s="67">
        <f>MAX(前提!C26,D8*前提!C25)</f>
        <v/>
      </c>
      <c r="E10" s="67">
        <f>MAX(前提!C26,E8*前提!C25)</f>
        <v/>
      </c>
    </row>
    <row r="11">
      <c r="B11" s="66" t="inlineStr">
        <is>
          <t>税引後利益</t>
        </is>
      </c>
      <c r="C11" s="68">
        <f>C8-C10</f>
        <v/>
      </c>
      <c r="D11" s="68">
        <f>D8-D10</f>
        <v/>
      </c>
      <c r="E11" s="68">
        <f>E8-E10</f>
        <v/>
      </c>
    </row>
    <row r="12">
      <c r="B12" t="inlineStr">
        <is>
          <t>★引当てる税金合計（消費税+法人税・別口座）</t>
        </is>
      </c>
      <c r="C12" s="67">
        <f>C9+C10</f>
        <v/>
      </c>
      <c r="D12" s="67">
        <f>D9+D10</f>
        <v/>
      </c>
      <c r="E12" s="67">
        <f>E9+E10</f>
        <v/>
      </c>
    </row>
    <row r="14">
      <c r="B14" t="inlineStr">
        <is>
          <t>注：Y2/Y3は役員報酬7万据置のため営業利益が過大→法人税も過大。Y2で役員報酬を上げると法人税は大きく下がる（役員報酬最適化タスク）。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D37"/>
  <sheetViews>
    <sheetView workbookViewId="0">
      <selection activeCell="A1" sqref="A1"/>
    </sheetView>
  </sheetViews>
  <sheetFormatPr baseColWidth="8" defaultRowHeight="14.5"/>
  <cols>
    <col width="30" customWidth="1" min="2" max="2"/>
    <col width="14" customWidth="1" min="3" max="3"/>
    <col width="34" customWidth="1" min="4" max="4"/>
  </cols>
  <sheetData>
    <row r="2" ht="15.5" customHeight="1">
      <c r="B2" s="102" t="inlineStr">
        <is>
          <t>貸借対照表（予測テンプレート・実際の勘定科目）</t>
        </is>
      </c>
    </row>
    <row r="3">
      <c r="B3" t="inlineStr">
        <is>
          <t>試算表で実際に使っている勘定科目だけを配置。黄色＝未来予測として後で入力。緑＝既知（資本金50万）。試算表の他の数字は不参照。</t>
        </is>
      </c>
    </row>
    <row r="5">
      <c r="B5" s="76" t="inlineStr">
        <is>
          <t>【資産の部】</t>
        </is>
      </c>
    </row>
    <row r="6">
      <c r="B6" s="76" t="inlineStr">
        <is>
          <t>流動資産</t>
        </is>
      </c>
      <c r="C6" s="69" t="n"/>
    </row>
    <row r="7">
      <c r="B7" t="inlineStr">
        <is>
          <t xml:space="preserve">　現金</t>
        </is>
      </c>
      <c r="C7" s="77" t="n"/>
    </row>
    <row r="8">
      <c r="B8" s="66" t="inlineStr">
        <is>
          <t xml:space="preserve">　普通預金</t>
        </is>
      </c>
      <c r="C8" s="77" t="n"/>
    </row>
    <row r="9">
      <c r="B9" t="inlineStr">
        <is>
          <t xml:space="preserve">　売掛金</t>
        </is>
      </c>
      <c r="C9" s="77" t="n"/>
    </row>
    <row r="10">
      <c r="B10" t="inlineStr">
        <is>
          <t xml:space="preserve">　未収入金</t>
        </is>
      </c>
      <c r="C10" s="77" t="n"/>
    </row>
    <row r="11">
      <c r="B11" s="76" t="inlineStr">
        <is>
          <t>固定資産</t>
        </is>
      </c>
      <c r="C11" s="68" t="n"/>
    </row>
    <row r="12">
      <c r="B12" t="inlineStr">
        <is>
          <t xml:space="preserve">　一括償却資産</t>
        </is>
      </c>
      <c r="C12" s="77" t="n"/>
    </row>
    <row r="13">
      <c r="B13" s="76" t="inlineStr">
        <is>
          <t>資産 合計</t>
        </is>
      </c>
      <c r="C13" s="78">
        <f>SUM(C7:C10)+C12</f>
        <v/>
      </c>
    </row>
    <row r="14">
      <c r="C14" s="67" t="n"/>
    </row>
    <row r="15">
      <c r="B15" s="76" t="inlineStr">
        <is>
          <t>【負債の部】</t>
        </is>
      </c>
      <c r="C15" s="67" t="n"/>
    </row>
    <row r="16">
      <c r="B16" s="76" t="inlineStr">
        <is>
          <t>流動負債</t>
        </is>
      </c>
      <c r="C16" s="68" t="n"/>
    </row>
    <row r="17">
      <c r="B17" t="inlineStr">
        <is>
          <t xml:space="preserve">　未払金</t>
        </is>
      </c>
      <c r="C17" s="77" t="n"/>
    </row>
    <row r="18">
      <c r="B18" s="66" t="inlineStr">
        <is>
          <t xml:space="preserve">　未払法人税等</t>
        </is>
      </c>
      <c r="C18" s="77" t="n"/>
    </row>
    <row r="19">
      <c r="B19" t="inlineStr">
        <is>
          <t xml:space="preserve">　未払消費税等</t>
        </is>
      </c>
      <c r="C19" s="77" t="n"/>
    </row>
    <row r="20">
      <c r="B20" t="inlineStr">
        <is>
          <t xml:space="preserve">　クレジットカード未払（セゾン/DC）</t>
        </is>
      </c>
      <c r="C20" s="77" t="n"/>
    </row>
    <row r="21">
      <c r="B21" t="inlineStr">
        <is>
          <t xml:space="preserve">　前受金</t>
        </is>
      </c>
      <c r="C21" s="104" t="n"/>
    </row>
    <row r="22">
      <c r="B22" t="inlineStr">
        <is>
          <t xml:space="preserve">　預り金</t>
        </is>
      </c>
      <c r="C22" s="77" t="n"/>
    </row>
    <row r="23">
      <c r="B23" s="76" t="inlineStr">
        <is>
          <t>固定負債</t>
        </is>
      </c>
      <c r="C23" s="68" t="n"/>
    </row>
    <row r="24">
      <c r="B24" t="inlineStr">
        <is>
          <t xml:space="preserve">　長期借入金</t>
        </is>
      </c>
      <c r="C24" s="104" t="n"/>
    </row>
    <row r="25">
      <c r="B25" s="76" t="inlineStr">
        <is>
          <t>負債 合計</t>
        </is>
      </c>
      <c r="C25" s="78">
        <f>SUM(C17:C22)+C24</f>
        <v/>
      </c>
    </row>
    <row r="26">
      <c r="C26" s="67" t="n"/>
    </row>
    <row r="27">
      <c r="B27" s="76" t="inlineStr">
        <is>
          <t>【純資産の部】</t>
        </is>
      </c>
    </row>
    <row r="28">
      <c r="B28" t="inlineStr">
        <is>
          <t xml:space="preserve">　資本金</t>
        </is>
      </c>
      <c r="C28" s="105" t="n">
        <v>500000</v>
      </c>
    </row>
    <row r="29">
      <c r="B29" t="inlineStr">
        <is>
          <t xml:space="preserve">　資本剰余金</t>
        </is>
      </c>
      <c r="C29" s="77" t="n"/>
    </row>
    <row r="30">
      <c r="B30" t="inlineStr">
        <is>
          <t xml:space="preserve">　繰越利益剰余金</t>
        </is>
      </c>
      <c r="C30" s="77" t="n"/>
    </row>
    <row r="31">
      <c r="B31" t="inlineStr">
        <is>
          <t xml:space="preserve">　当期純損益金額</t>
        </is>
      </c>
      <c r="C31" s="77" t="n"/>
    </row>
    <row r="32">
      <c r="B32" s="76" t="inlineStr">
        <is>
          <t>純資産 合計</t>
        </is>
      </c>
      <c r="C32" s="78">
        <f>SUM(C28:C31)</f>
        <v/>
      </c>
    </row>
    <row r="34">
      <c r="B34" s="76" t="inlineStr">
        <is>
          <t>負債・純資産 合計</t>
        </is>
      </c>
      <c r="C34" s="78">
        <f>C25+C32</f>
        <v/>
      </c>
    </row>
    <row r="35">
      <c r="B35" s="76" t="inlineStr">
        <is>
          <t>差額チェック（資産−負債純資産）</t>
        </is>
      </c>
      <c r="C35" s="78">
        <f>C13-C34</f>
        <v/>
      </c>
      <c r="D35" t="inlineStr">
        <is>
          <t>← 数字を入れたら 0 で貸借一致</t>
        </is>
      </c>
    </row>
    <row r="37">
      <c r="B37" t="inlineStr">
        <is>
          <t>※勘定科目は試算表(2026)で使用中のものに合わせた。数字は未来予測として各セルに後入力。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D18"/>
  <sheetViews>
    <sheetView tabSelected="1" workbookViewId="0">
      <selection activeCell="A1" sqref="A1"/>
    </sheetView>
  </sheetViews>
  <sheetFormatPr baseColWidth="8" defaultRowHeight="14.5"/>
  <cols>
    <col width="30" customWidth="1" min="2" max="2"/>
    <col width="16" customWidth="1" min="3" max="4"/>
    <col width="6" customWidth="1" min="5" max="5"/>
  </cols>
  <sheetData>
    <row r="2" ht="15.5" customHeight="1">
      <c r="B2" s="65" t="inlineStr">
        <is>
          <t>感度分析：濃い伴走 月75万 vs 50万（Year1）</t>
        </is>
      </c>
    </row>
    <row r="3">
      <c r="B3" t="inlineStr">
        <is>
          <t>伴走の月額単価だけを変えたときの、総売上・利益・税・年末現金の差。黄色＝低単価の入力。</t>
        </is>
      </c>
    </row>
    <row r="5">
      <c r="B5" t="inlineStr">
        <is>
          <t>伴走 標準単価（前提!C13）</t>
        </is>
      </c>
      <c r="C5" s="67">
        <f>前提!C13</f>
        <v/>
      </c>
    </row>
    <row r="6">
      <c r="B6" t="inlineStr">
        <is>
          <t>伴走 低単価（感度・黄色）</t>
        </is>
      </c>
      <c r="C6" s="69" t="n">
        <v>500000</v>
      </c>
    </row>
    <row r="7">
      <c r="B7" t="inlineStr">
        <is>
          <t>伴走の社月合計（Year1）</t>
        </is>
      </c>
      <c r="C7" s="67">
        <f>SUM(Year1_月次!C8:N8)</f>
        <v/>
      </c>
      <c r="D7" t="inlineStr">
        <is>
          <t>稼働社数×月の合計</t>
        </is>
      </c>
    </row>
    <row r="8">
      <c r="B8" t="inlineStr">
        <is>
          <t>売上差（低−標準）</t>
        </is>
      </c>
      <c r="C8" s="67">
        <f>C7*(C6-C5)</f>
        <v/>
      </c>
    </row>
    <row r="10">
      <c r="B10" s="66" t="inlineStr">
        <is>
          <t>項目</t>
        </is>
      </c>
      <c r="C10" s="66" t="inlineStr">
        <is>
          <t>標準（75万）</t>
        </is>
      </c>
      <c r="D10" s="66" t="inlineStr">
        <is>
          <t>低（50万）</t>
        </is>
      </c>
    </row>
    <row r="11">
      <c r="B11" t="inlineStr">
        <is>
          <t>年間総売上</t>
        </is>
      </c>
      <c r="C11" s="67">
        <f>PL_損益_Y1!O6</f>
        <v/>
      </c>
      <c r="D11" s="67">
        <f>C11+C8</f>
        <v/>
      </c>
    </row>
    <row r="12">
      <c r="B12" t="inlineStr">
        <is>
          <t>営業利益（税引前）</t>
        </is>
      </c>
      <c r="C12" s="67">
        <f>PL_損益_Y1!O13</f>
        <v/>
      </c>
      <c r="D12" s="67">
        <f>C12+C8</f>
        <v/>
      </c>
    </row>
    <row r="13">
      <c r="B13" t="inlineStr">
        <is>
          <t>法人税等</t>
        </is>
      </c>
      <c r="C13" s="67">
        <f>MAX(前提!C26,C12*前提!C25)</f>
        <v/>
      </c>
      <c r="D13" s="67">
        <f>MAX(前提!C26,D12*前提!C25)</f>
        <v/>
      </c>
    </row>
    <row r="14">
      <c r="B14" t="inlineStr">
        <is>
          <t>税引後利益</t>
        </is>
      </c>
      <c r="C14" s="67">
        <f>C12-C13</f>
        <v/>
      </c>
      <c r="D14" s="67">
        <f>D12-D13</f>
        <v/>
      </c>
    </row>
    <row r="15">
      <c r="B15" t="inlineStr">
        <is>
          <t>消費税（簡易）</t>
        </is>
      </c>
      <c r="C15" s="67">
        <f>C11*前提!C24*(1-前提!C23)</f>
        <v/>
      </c>
      <c r="D15" s="67">
        <f>D11*前提!C24*(1-前提!C23)</f>
        <v/>
      </c>
    </row>
    <row r="16">
      <c r="B16" s="66" t="inlineStr">
        <is>
          <t>年末現金（手元）</t>
        </is>
      </c>
      <c r="C16" s="68">
        <f>前提!C6+C12</f>
        <v/>
      </c>
      <c r="D16" s="68">
        <f>前提!C6+D12</f>
        <v/>
      </c>
    </row>
    <row r="18">
      <c r="B18" t="inlineStr">
        <is>
          <t>読み：50万に下げると年末現金が約300万薄くなる。介護の薄利には50万が現実的だが、補助金で自己負担が下がるなら75万維持も可（subsidy-research参照）。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2026-06-16T15:24:48Z</dcterms:created>
  <dcterms:modified xmlns:dcterms="http://purl.org/dc/terms/" xmlns:xsi="http://www.w3.org/2001/XMLSchema-instance" xsi:type="dcterms:W3CDTF">2026-06-21T11:31:07Z</dcterms:modified>
  <cp:lastModifiedBy>Yuki Ishida</cp:lastModifiedBy>
  <cp:revision>0</cp:revision>
</cp:coreProperties>
</file>