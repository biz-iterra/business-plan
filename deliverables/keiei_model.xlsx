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" sheetId="1" state="visible" r:id="rId3"/>
    <sheet name="Year1_月次" sheetId="2" state="visible" r:id="rId4"/>
    <sheet name="3年_四半期" sheetId="3" state="visible" r:id="rId5"/>
    <sheet name="読み方" sheetId="4" state="visible" r:id="rId6"/>
    <sheet name="PL_損益_Y1" sheetId="5" state="visible" r:id="rId7"/>
    <sheet name="CF_現金_Y1" sheetId="6" state="visible" r:id="rId8"/>
    <sheet name="営業ファネル_Y1" sheetId="7" state="visible" r:id="rId9"/>
    <sheet name="個人サバイバル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<sst xmlns="http://schemas.openxmlformats.org/spreadsheetml/2006/main" count="215" uniqueCount="172">
  <si>
    <t xml:space="preserve">伴走事業 — 経営シミュレーション</t>
  </si>
  <si>
    <t xml:space="preserve">前提（青い数字を打ち替えると、全シートが自動で再計算されます）</t>
  </si>
  <si>
    <t xml:space="preserve">① 滑走路とコスト</t>
  </si>
  <si>
    <t xml:space="preserve">初期キャッシュ（滑走路）</t>
  </si>
  <si>
    <t xml:space="preserve">海外資金の引き出し。月50万×4ヶ月分</t>
  </si>
  <si>
    <t xml:space="preserve">会社の月次固定費（損益分岐）</t>
  </si>
  <si>
    <t xml:space="preserve">役員報酬+社保+販管費の自動計算。これを総売上が超えれば会社は黒字</t>
  </si>
  <si>
    <t xml:space="preserve">既存受託（月・当面継続）</t>
  </si>
  <si>
    <t xml:space="preserve">立ち上げ期の土台。新事業が育つまでの足場</t>
  </si>
  <si>
    <t xml:space="preserve">② 商品単価</t>
  </si>
  <si>
    <t xml:space="preserve">構造診断・立ち上げ価格</t>
  </si>
  <si>
    <t xml:space="preserve">先着5社の実績協力価格（通常30万）</t>
  </si>
  <si>
    <t xml:space="preserve">構造診断・通常価格</t>
  </si>
  <si>
    <t xml:space="preserve">竹（標準）。松は50万〜</t>
  </si>
  <si>
    <t xml:space="preserve">濃い伴走（月額・1社）</t>
  </si>
  <si>
    <t xml:space="preserve">週2日相当。シナリオA</t>
  </si>
  <si>
    <t xml:space="preserve">ライト契約（月額・1社）</t>
  </si>
  <si>
    <t xml:space="preserve">自走後の継続。相談・保守ベース</t>
  </si>
  <si>
    <t xml:space="preserve">③ 上限（品質を守る方針）</t>
  </si>
  <si>
    <t xml:space="preserve">濃い伴走の同時上限（社）</t>
  </si>
  <si>
    <r>
      <rPr>
        <i val="true"/>
        <sz val="9"/>
        <color rgb="FF54656B"/>
        <rFont val="Arial"/>
        <family val="0"/>
        <charset val="1"/>
      </rPr>
      <t xml:space="preserve">3</t>
    </r>
    <r>
      <rPr>
        <i val="true"/>
        <sz val="9"/>
        <color rgb="FF54656B"/>
        <rFont val="Noto Sans CJK SC"/>
        <family val="2"/>
      </rPr>
      <t xml:space="preserve">社を超えると文脈維持の工数が品質を割る</t>
    </r>
  </si>
  <si>
    <t xml:space="preserve">④ 会計レベル前提（費用・税）</t>
  </si>
  <si>
    <t xml:space="preserve">役員報酬（月）</t>
  </si>
  <si>
    <t xml:space="preserve">立ち上げ年は7万で低く固定（定期同額のため期中変更は不可→Y2で増額）。生活は貯蓄で橋渡し</t>
  </si>
  <si>
    <t xml:space="preserve">会社負担 社会保険（月）</t>
  </si>
  <si>
    <t xml:space="preserve">役員報酬7万の最低等級 概算</t>
  </si>
  <si>
    <t xml:space="preserve">販管費（月）</t>
  </si>
  <si>
    <t xml:space="preserve">税理士・SaaS・通信・交通・交際・学習・広告の合算</t>
  </si>
  <si>
    <t xml:space="preserve">消費税 みなし仕入率（簡易課税）</t>
  </si>
  <si>
    <t xml:space="preserve">サービス業=第5種50%。納税=売上消費税×(1-この率)</t>
  </si>
  <si>
    <t xml:space="preserve">消費税率</t>
  </si>
  <si>
    <t xml:space="preserve">法人実効税率（概算）</t>
  </si>
  <si>
    <t xml:space="preserve">所得800万以下の中小法人 概算</t>
  </si>
  <si>
    <t xml:space="preserve">法人住民税 均等割（年・赤字でも発生）</t>
  </si>
  <si>
    <t xml:space="preserve">最低限かかる固定税</t>
  </si>
  <si>
    <t xml:space="preserve">⑤ 営業ファネル（新規診断を生む活動）</t>
  </si>
  <si>
    <t xml:space="preserve">アプローチ→無料相談 化率</t>
  </si>
  <si>
    <r>
      <rPr>
        <i val="true"/>
        <sz val="9"/>
        <color rgb="FF54656B"/>
        <rFont val="Arial"/>
        <family val="0"/>
        <charset val="1"/>
      </rPr>
      <t xml:space="preserve">DM</t>
    </r>
    <r>
      <rPr>
        <i val="true"/>
        <sz val="9"/>
        <color rgb="FF54656B"/>
        <rFont val="Noto Sans CJK SC"/>
        <family val="2"/>
      </rPr>
      <t xml:space="preserve">・紹介依頼・登壇等→無料相談に至る率</t>
    </r>
  </si>
  <si>
    <t xml:space="preserve">無料相談→診断 成約率</t>
  </si>
  <si>
    <t xml:space="preserve">無料相談から有料診断に進む率</t>
  </si>
  <si>
    <t xml:space="preserve">診断→伴走 移行率</t>
  </si>
  <si>
    <t xml:space="preserve">診断から濃い伴走に上がる率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</si>
  <si>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アプローチ所要（分）</t>
    </r>
  </si>
  <si>
    <r>
      <rPr>
        <i val="true"/>
        <sz val="9"/>
        <color rgb="FF54656B"/>
        <rFont val="Noto Sans CJK SC"/>
        <family val="2"/>
      </rPr>
      <t xml:space="preserve">リスト作成</t>
    </r>
    <r>
      <rPr>
        <i val="true"/>
        <sz val="9"/>
        <color rgb="FF54656B"/>
        <rFont val="Arial"/>
        <family val="0"/>
        <charset val="1"/>
      </rPr>
      <t xml:space="preserve">+</t>
    </r>
    <r>
      <rPr>
        <i val="true"/>
        <sz val="9"/>
        <color rgb="FF54656B"/>
        <rFont val="Noto Sans CJK SC"/>
        <family val="2"/>
      </rPr>
      <t xml:space="preserve">送付</t>
    </r>
    <r>
      <rPr>
        <i val="true"/>
        <sz val="9"/>
        <color rgb="FF54656B"/>
        <rFont val="Arial"/>
        <family val="0"/>
        <charset val="1"/>
      </rPr>
      <t xml:space="preserve">+</t>
    </r>
    <r>
      <rPr>
        <i val="true"/>
        <sz val="9"/>
        <color rgb="FF54656B"/>
        <rFont val="Noto Sans CJK SC"/>
        <family val="2"/>
      </rPr>
      <t xml:space="preserve">フォロー込み</t>
    </r>
  </si>
  <si>
    <t xml:space="preserve">⑥ 個人サバイバル（会社とは別の財布）</t>
  </si>
  <si>
    <t xml:space="preserve">個人の貯蓄（滑走路）</t>
  </si>
  <si>
    <t xml:space="preserve">海外資金。会社でなく“あなた個人”の生活を支える</t>
  </si>
  <si>
    <t xml:space="preserve">個人の生活費（月）</t>
  </si>
  <si>
    <t xml:space="preserve">家賃・生活・税社保等の個人支出</t>
  </si>
  <si>
    <r>
      <rPr>
        <b val="true"/>
        <sz val="14"/>
        <color rgb="FF1D2A2E"/>
        <rFont val="Arial"/>
        <family val="0"/>
        <charset val="1"/>
      </rPr>
      <t xml:space="preserve">Year 1 — </t>
    </r>
    <r>
      <rPr>
        <b val="true"/>
        <sz val="14"/>
        <color rgb="FF1D2A2E"/>
        <rFont val="Noto Sans CJK SC"/>
        <family val="2"/>
      </rPr>
      <t xml:space="preserve">月次キャッシュ推移</t>
    </r>
  </si>
  <si>
    <t xml:space="preserve">新事業の「数量」だけ青で打ち替えてください（診断件数・伴走社数・ライト社数）。売上と残高は自動計算。</t>
  </si>
  <si>
    <t xml:space="preserve">項目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</si>
  <si>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</si>
  <si>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</si>
  <si>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</si>
  <si>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</si>
  <si>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</si>
  <si>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</si>
  <si>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</si>
  <si>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</si>
  <si>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</si>
  <si>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</si>
  <si>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11</t>
    </r>
    <r>
      <rPr>
        <b val="true"/>
        <sz val="10"/>
        <color rgb="FFFFFFFF"/>
        <rFont val="Noto Sans CJK SC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</si>
  <si>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12</t>
    </r>
    <r>
      <rPr>
        <b val="true"/>
        <sz val="10"/>
        <color rgb="FFFFFFFF"/>
        <rFont val="Noto Sans CJK SC"/>
        <family val="2"/>
      </rPr>
      <t xml:space="preserve">月</t>
    </r>
  </si>
  <si>
    <t xml:space="preserve">診断・件数（立ち上げ価格）</t>
  </si>
  <si>
    <t xml:space="preserve">診断・件数（通常価格）</t>
  </si>
  <si>
    <t xml:space="preserve">濃い伴走・稼働社数</t>
  </si>
  <si>
    <t xml:space="preserve">ライト契約・社数</t>
  </si>
  <si>
    <t xml:space="preserve">新事業 売上</t>
  </si>
  <si>
    <t xml:space="preserve">既存受託</t>
  </si>
  <si>
    <t xml:space="preserve">総売上</t>
  </si>
  <si>
    <t xml:space="preserve">損益分岐点</t>
  </si>
  <si>
    <t xml:space="preserve">単月収支（±）</t>
  </si>
  <si>
    <t xml:space="preserve">キャッシュ残高</t>
  </si>
  <si>
    <t xml:space="preserve">年間 新事業売上 合計</t>
  </si>
  <si>
    <t xml:space="preserve">年末キャッシュ残高</t>
  </si>
  <si>
    <t xml:space="preserve">初年度の最低残高（滑走路の底）</t>
  </si>
  <si>
    <t xml:space="preserve">← ここがマイナスにならなければ、負の連鎖で死ぬことはない</t>
  </si>
  <si>
    <r>
      <rPr>
        <b val="true"/>
        <sz val="14"/>
        <color rgb="FF1D2A2E"/>
        <rFont val="Arial"/>
        <family val="0"/>
        <charset val="1"/>
      </rPr>
      <t xml:space="preserve">3</t>
    </r>
    <r>
      <rPr>
        <b val="true"/>
        <sz val="14"/>
        <color rgb="FF1D2A2E"/>
        <rFont val="Noto Sans CJK SC"/>
        <family val="2"/>
      </rPr>
      <t xml:space="preserve">年計画 — 四半期ショートスパン</t>
    </r>
  </si>
  <si>
    <t xml:space="preserve">見るのは4つだけ：診断数・伴走社数・ライト社数・キャッシュ残高。指標を増やさないのが一人会社のコツ。</t>
  </si>
  <si>
    <t xml:space="preserve">Y1Q1</t>
  </si>
  <si>
    <t xml:space="preserve">Y1Q2</t>
  </si>
  <si>
    <t xml:space="preserve">Y1Q3</t>
  </si>
  <si>
    <t xml:space="preserve">Y1Q4</t>
  </si>
  <si>
    <t xml:space="preserve">Y2Q1</t>
  </si>
  <si>
    <t xml:space="preserve">Y2Q2</t>
  </si>
  <si>
    <t xml:space="preserve">Y2Q3</t>
  </si>
  <si>
    <t xml:space="preserve">Y2Q4</t>
  </si>
  <si>
    <t xml:space="preserve">Y3Q1</t>
  </si>
  <si>
    <t xml:space="preserve">Y3Q2</t>
  </si>
  <si>
    <t xml:space="preserve">Y3Q3</t>
  </si>
  <si>
    <t xml:space="preserve">Y3Q4</t>
  </si>
  <si>
    <t xml:space="preserve">診断・件数 / 四半期</t>
  </si>
  <si>
    <t xml:space="preserve">濃い伴走・社数（平均）</t>
  </si>
  <si>
    <t xml:space="preserve">ライト・社数</t>
  </si>
  <si>
    <t xml:space="preserve">新事業 売上 / Q</t>
  </si>
  <si>
    <t xml:space="preserve">既存受託 / Q</t>
  </si>
  <si>
    <t xml:space="preserve">総売上 / Q</t>
  </si>
  <si>
    <t xml:space="preserve">損益分岐 / Q</t>
  </si>
  <si>
    <t xml:space="preserve">四半期 収支（±）</t>
  </si>
  <si>
    <t xml:space="preserve">四半期末 キャッシュ残高</t>
  </si>
  <si>
    <t xml:space="preserve">年間総売上</t>
  </si>
  <si>
    <t xml:space="preserve">（C列=Year1, D列=Year2, E列=Year3 の合計）</t>
  </si>
  <si>
    <t xml:space="preserve">年間総売上（C=Y1 / D=Y2 / E=Y3）</t>
  </si>
  <si>
    <t xml:space="preserve">このモデルの読み方</t>
  </si>
  <si>
    <t xml:space="preserve">■ 何を打ち替えればいいか</t>
  </si>
  <si>
    <t xml:space="preserve">　・黄色いセル（青字）だけを変えてください。黒字は自動計算なので触らない。</t>
  </si>
  <si>
    <t xml:space="preserve">　・「前提」シートで単価・分岐点・滑走路を変えると、全シートに反映されます。</t>
  </si>
  <si>
    <t xml:space="preserve">　・「Year1_月次」「3年_四半期」では、各月/各Qの "数量"（診断件数・伴走社数・ライト社数）を変えます。</t>
  </si>
  <si>
    <t xml:space="preserve">■ どこを見れば「死なない」と分かるか</t>
  </si>
  <si>
    <t xml:space="preserve">　・Year1_月次シートの「初年度の最低残高（滑走路の底）」。ここがプラスなら、負の連鎖で資金が尽きることはありません。</t>
  </si>
  <si>
    <t xml:space="preserve">　・現在の慎重シナリオでは、底は初月の約190万円。初期200万からほぼ減らずに立ち上がります。</t>
  </si>
  <si>
    <t xml:space="preserve">■ この事業の構造的な強み（数字が示すこと）</t>
  </si>
  <si>
    <t xml:space="preserve">　・損益分岐 月50万に対し、既存受託が月40万。埋めるべき差は月10万だけ。</t>
  </si>
  <si>
    <t xml:space="preserve">　・診断1社（10万）でその月は分岐点に到達。伴走1社（月75万）に上がれば即黒字。ハードルは低い。</t>
  </si>
  <si>
    <t xml:space="preserve">　・濃い伴走は上限3社（品質方針）。3社目以降は売上でなく、資産化・ライト層・1対Nで伸ばす設計。</t>
  </si>
  <si>
    <t xml:space="preserve">■ 注意（このモデルが扱っていないリスク）</t>
  </si>
  <si>
    <t xml:space="preserve">　・代替不能性：あなたが倒れると伴走が止まる。だから現金の厚みと協力者の関係維持が保険になる。</t>
  </si>
  <si>
    <t xml:space="preserve">　・協力者（コーダー1・デザイナー1）は副業の隙間稼働。戦力でなく薄い保険として扱い、稼働を前提に商品を組まない。</t>
  </si>
  <si>
    <t xml:space="preserve">　・売上の上振れより、滑走路を守る判断を優先。筋の通らない案件を承認欲で取らない（判断基準に戻る）。</t>
  </si>
  <si>
    <r>
      <rPr>
        <b val="true"/>
        <sz val="14"/>
        <color rgb="FF1D2A2E"/>
        <rFont val="Arial"/>
        <family val="0"/>
        <charset val="1"/>
      </rPr>
      <t xml:space="preserve">Year1 </t>
    </r>
    <r>
      <rPr>
        <b val="true"/>
        <sz val="14"/>
        <color rgb="FF1D2A2E"/>
        <rFont val="Noto Sans CJK SC"/>
        <family val="2"/>
      </rPr>
      <t xml:space="preserve">月次 損益計算書（</t>
    </r>
    <r>
      <rPr>
        <b val="true"/>
        <sz val="14"/>
        <color rgb="FF1D2A2E"/>
        <rFont val="Arial"/>
        <family val="0"/>
        <charset val="1"/>
      </rPr>
      <t xml:space="preserve">P/L</t>
    </r>
    <r>
      <rPr>
        <b val="true"/>
        <sz val="14"/>
        <color rgb="FF1D2A2E"/>
        <rFont val="Noto Sans CJK SC"/>
        <family val="2"/>
      </rPr>
      <t xml:space="preserve">）</t>
    </r>
  </si>
  <si>
    <t xml:space="preserve">売上は「Year1_月次」から自動リンク（緑字）。費用は「前提」から。消費税は預かりのため売上から除外＝税抜ベース。</t>
  </si>
  <si>
    <t xml:space="preserve">年計</t>
  </si>
  <si>
    <t xml:space="preserve">売上高（税抜）</t>
  </si>
  <si>
    <t xml:space="preserve">役員報酬</t>
  </si>
  <si>
    <t xml:space="preserve">法定福利費（社保・会社）</t>
  </si>
  <si>
    <t xml:space="preserve">販管費</t>
  </si>
  <si>
    <t xml:space="preserve">費用 合計</t>
  </si>
  <si>
    <t xml:space="preserve">営業利益（税引前）</t>
  </si>
  <si>
    <t xml:space="preserve">【年次の税金（翌期納付＝現金の引当が必要）】</t>
  </si>
  <si>
    <t xml:space="preserve">消費税（簡易課税）</t>
  </si>
  <si>
    <t xml:space="preserve">売上消費税×(1−みなし50%)</t>
  </si>
  <si>
    <t xml:space="preserve">法人税等</t>
  </si>
  <si>
    <t xml:space="preserve">利益×実効税率 と 均等割 の大きい方</t>
  </si>
  <si>
    <t xml:space="preserve">税引後利益</t>
  </si>
  <si>
    <t xml:space="preserve">★引当てる税金合計（別口座へ）</t>
  </si>
  <si>
    <t xml:space="preserve">この現金は「使ってはいけない」</t>
  </si>
  <si>
    <r>
      <rPr>
        <b val="true"/>
        <sz val="14"/>
        <color rgb="FF1D2A2E"/>
        <rFont val="Arial"/>
        <family val="0"/>
        <charset val="1"/>
      </rPr>
      <t xml:space="preserve">Year1 </t>
    </r>
    <r>
      <rPr>
        <b val="true"/>
        <sz val="14"/>
        <color rgb="FF1D2A2E"/>
        <rFont val="Noto Sans CJK SC"/>
        <family val="2"/>
      </rPr>
      <t xml:space="preserve">月次 キャッシュフロー（税金引当込み）</t>
    </r>
  </si>
  <si>
    <t xml:space="preserve">「手元現金」と「税金を避けた後の“本当に使える現金”」を分けて表示。納付月の事故を防ぐ。</t>
  </si>
  <si>
    <t xml:space="preserve">営業利益（月次）</t>
  </si>
  <si>
    <t xml:space="preserve">手元現金 残高</t>
  </si>
  <si>
    <t xml:space="preserve">累計 税金引当（避ける額）</t>
  </si>
  <si>
    <t xml:space="preserve">★本当に使える現金</t>
  </si>
  <si>
    <t xml:space="preserve">年末 手元現金</t>
  </si>
  <si>
    <t xml:space="preserve">年末 本当に使える現金（税引当後）</t>
  </si>
  <si>
    <t xml:space="preserve">本当に使える現金の最低値（底）</t>
  </si>
  <si>
    <t xml:space="preserve">← ここがプラスなら、税金を避けても資金は尽きない</t>
  </si>
  <si>
    <r>
      <rPr>
        <b val="true"/>
        <sz val="14"/>
        <color rgb="FF1D2A2E"/>
        <rFont val="Arial"/>
        <family val="0"/>
        <charset val="1"/>
      </rPr>
      <t xml:space="preserve">Year1 </t>
    </r>
    <r>
      <rPr>
        <b val="true"/>
        <sz val="14"/>
        <color rgb="FF1D2A2E"/>
        <rFont val="Noto Sans CJK SC"/>
        <family val="2"/>
      </rPr>
      <t xml:space="preserve">営業ファネル — 受注に必要な活動量</t>
    </r>
  </si>
  <si>
    <t xml:space="preserve">「診断を何件取る」の裏で、毎月何件アプローチが要るかを逆算。営業時間が現実的かを検証する。</t>
  </si>
  <si>
    <t xml:space="preserve">新規診断 目標（件）</t>
  </si>
  <si>
    <t xml:space="preserve">必要 無料相談（件）</t>
  </si>
  <si>
    <t xml:space="preserve">必要 アプローチ（件）</t>
  </si>
  <si>
    <r>
      <rPr>
        <b val="true"/>
        <sz val="10"/>
        <rFont val="Noto Sans CJK SC"/>
        <family val="2"/>
      </rPr>
      <t xml:space="preserve">営業 所要時間（</t>
    </r>
    <r>
      <rPr>
        <b val="true"/>
        <sz val="10"/>
        <rFont val="Arial"/>
        <family val="0"/>
        <charset val="1"/>
      </rPr>
      <t xml:space="preserve">h/</t>
    </r>
    <r>
      <rPr>
        <b val="true"/>
        <sz val="10"/>
        <rFont val="Noto Sans CJK SC"/>
        <family val="2"/>
      </rPr>
      <t xml:space="preserve">月）</t>
    </r>
  </si>
  <si>
    <t xml:space="preserve">（参考）想定 伴走新規（社）</t>
  </si>
  <si>
    <t xml:space="preserve">年間 必要アプローチ 合計</t>
  </si>
  <si>
    <t xml:space="preserve">月平均 営業時間</t>
  </si>
  <si>
    <t xml:space="preserve">← これが週の使える営業時間に収まるかを見る</t>
  </si>
  <si>
    <t xml:space="preserve">個人サバイバル — 会社とは別の“あなたの財布”</t>
  </si>
  <si>
    <r>
      <rPr>
        <i val="true"/>
        <sz val="9"/>
        <color rgb="FF54656B"/>
        <rFont val="Noto Sans CJK SC"/>
        <family val="2"/>
      </rPr>
      <t xml:space="preserve">役員報酬</t>
    </r>
    <r>
      <rPr>
        <i val="true"/>
        <sz val="9"/>
        <color rgb="FF54656B"/>
        <rFont val="Arial"/>
        <family val="0"/>
        <charset val="1"/>
      </rPr>
      <t xml:space="preserve">7</t>
    </r>
    <r>
      <rPr>
        <i val="true"/>
        <sz val="9"/>
        <color rgb="FF54656B"/>
        <rFont val="Noto Sans CJK SC"/>
        <family val="2"/>
      </rPr>
      <t xml:space="preserve">万では生活費に届かない。差額を貯蓄で何ヶ月もたせられるか。これが本当の滑走路。</t>
    </r>
  </si>
  <si>
    <t xml:space="preserve">役員報酬（手取り≒額面）</t>
  </si>
  <si>
    <t xml:space="preserve">概算。実際は所得税・社保で少し減る</t>
  </si>
  <si>
    <t xml:space="preserve">月の不足額（生活費−報酬）</t>
  </si>
  <si>
    <t xml:space="preserve">貯蓄から毎月出ていく額</t>
  </si>
  <si>
    <t xml:space="preserve">個人サバイバル月数</t>
  </si>
  <si>
    <t xml:space="preserve">貯蓄が尽きるまでの月数</t>
  </si>
  <si>
    <t xml:space="preserve">【意味】</t>
  </si>
  <si>
    <r>
      <rPr>
        <sz val="10"/>
        <color rgb="FF1D2A2E"/>
        <rFont val="Noto Sans CJK SC"/>
        <family val="2"/>
      </rPr>
      <t xml:space="preserve">・役員報酬を</t>
    </r>
    <r>
      <rPr>
        <sz val="10"/>
        <color rgb="FF1D2A2E"/>
        <rFont val="Arial"/>
        <family val="0"/>
        <charset val="1"/>
      </rPr>
      <t xml:space="preserve">7</t>
    </r>
    <r>
      <rPr>
        <sz val="10"/>
        <color rgb="FF1D2A2E"/>
        <rFont val="Noto Sans CJK SC"/>
        <family val="2"/>
      </rPr>
      <t xml:space="preserve">万に下げると、会社の損益分岐は約</t>
    </r>
    <r>
      <rPr>
        <sz val="10"/>
        <color rgb="FF1D2A2E"/>
        <rFont val="Arial"/>
        <family val="0"/>
        <charset val="1"/>
      </rPr>
      <t xml:space="preserve">18</t>
    </r>
    <r>
      <rPr>
        <sz val="10"/>
        <color rgb="FF1D2A2E"/>
        <rFont val="Noto Sans CJK SC"/>
        <family val="2"/>
      </rPr>
      <t xml:space="preserve">万に激減。既存受託</t>
    </r>
    <r>
      <rPr>
        <sz val="10"/>
        <color rgb="FF1D2A2E"/>
        <rFont val="Arial"/>
        <family val="0"/>
        <charset val="1"/>
      </rPr>
      <t xml:space="preserve">40</t>
    </r>
    <r>
      <rPr>
        <sz val="10"/>
        <color rgb="FF1D2A2E"/>
        <rFont val="Noto Sans CJK SC"/>
        <family val="2"/>
      </rPr>
      <t xml:space="preserve">万だけで会社は黒字。</t>
    </r>
  </si>
  <si>
    <r>
      <rPr>
        <sz val="10"/>
        <color rgb="FF1D2A2E"/>
        <rFont val="Noto Sans CJK SC"/>
        <family val="2"/>
      </rPr>
      <t xml:space="preserve">・つまり会社はすぐ黒字化し、貯蓄</t>
    </r>
    <r>
      <rPr>
        <sz val="10"/>
        <color rgb="FF1D2A2E"/>
        <rFont val="Arial"/>
        <family val="0"/>
        <charset val="1"/>
      </rPr>
      <t xml:space="preserve">200</t>
    </r>
    <r>
      <rPr>
        <sz val="10"/>
        <color rgb="FF1D2A2E"/>
        <rFont val="Noto Sans CJK SC"/>
        <family val="2"/>
      </rPr>
      <t xml:space="preserve">万は会社の延命には使わない。</t>
    </r>
  </si>
  <si>
    <r>
      <rPr>
        <sz val="10"/>
        <color rgb="FF1D2A2E"/>
        <rFont val="Noto Sans CJK SC"/>
        <family val="2"/>
      </rPr>
      <t xml:space="preserve">・本当の制約は「あなた個人」。生活費</t>
    </r>
    <r>
      <rPr>
        <sz val="10"/>
        <color rgb="FF1D2A2E"/>
        <rFont val="Arial"/>
        <family val="0"/>
        <charset val="1"/>
      </rPr>
      <t xml:space="preserve">50</t>
    </r>
    <r>
      <rPr>
        <sz val="10"/>
        <color rgb="FF1D2A2E"/>
        <rFont val="Noto Sans CJK SC"/>
        <family val="2"/>
      </rPr>
      <t xml:space="preserve">万−報酬</t>
    </r>
    <r>
      <rPr>
        <sz val="10"/>
        <color rgb="FF1D2A2E"/>
        <rFont val="Arial"/>
        <family val="0"/>
        <charset val="1"/>
      </rPr>
      <t xml:space="preserve">7</t>
    </r>
    <r>
      <rPr>
        <sz val="10"/>
        <color rgb="FF1D2A2E"/>
        <rFont val="Noto Sans CJK SC"/>
        <family val="2"/>
      </rPr>
      <t xml:space="preserve">万＝月</t>
    </r>
    <r>
      <rPr>
        <sz val="10"/>
        <color rgb="FF1D2A2E"/>
        <rFont val="Arial"/>
        <family val="0"/>
        <charset val="1"/>
      </rPr>
      <t xml:space="preserve">43</t>
    </r>
    <r>
      <rPr>
        <sz val="10"/>
        <color rgb="FF1D2A2E"/>
        <rFont val="Noto Sans CJK SC"/>
        <family val="2"/>
      </rPr>
      <t xml:space="preserve">万を、貯蓄</t>
    </r>
    <r>
      <rPr>
        <sz val="10"/>
        <color rgb="FF1D2A2E"/>
        <rFont val="Arial"/>
        <family val="0"/>
        <charset val="1"/>
      </rPr>
      <t xml:space="preserve">200</t>
    </r>
    <r>
      <rPr>
        <sz val="10"/>
        <color rgb="FF1D2A2E"/>
        <rFont val="Noto Sans CJK SC"/>
        <family val="2"/>
      </rPr>
      <t xml:space="preserve">万で約</t>
    </r>
    <r>
      <rPr>
        <sz val="10"/>
        <color rgb="FF1D2A2E"/>
        <rFont val="Arial"/>
        <family val="0"/>
        <charset val="1"/>
      </rPr>
      <t xml:space="preserve">4.6</t>
    </r>
    <r>
      <rPr>
        <sz val="10"/>
        <color rgb="FF1D2A2E"/>
        <rFont val="Noto Sans CJK SC"/>
        <family val="2"/>
      </rPr>
      <t xml:space="preserve">ヶ月もたせる勝負。</t>
    </r>
  </si>
  <si>
    <r>
      <rPr>
        <sz val="10"/>
        <color rgb="FF1D2A2E"/>
        <rFont val="Noto Sans CJK SC"/>
        <family val="2"/>
      </rPr>
      <t xml:space="preserve">・新規売上が立って会社に利益が貯まったら、</t>
    </r>
    <r>
      <rPr>
        <sz val="10"/>
        <color rgb="FF1D2A2E"/>
        <rFont val="Arial"/>
        <family val="0"/>
        <charset val="1"/>
      </rPr>
      <t xml:space="preserve">Y2</t>
    </r>
    <r>
      <rPr>
        <sz val="10"/>
        <color rgb="FF1D2A2E"/>
        <rFont val="Noto Sans CJK SC"/>
        <family val="2"/>
      </rPr>
      <t xml:space="preserve">で役員報酬を上げて貯蓄の取り崩しを止める。</t>
    </r>
  </si>
  <si>
    <t xml:space="preserve">・注意：報酬を極端に下げると会社利益が増え法人税も増える。立ち上げ期の“現金温存”としては正しいが、</t>
  </si>
  <si>
    <t xml:space="preserve">　軌道に乗ったら「法人税＋所得税＋社保」の合計が最小になる報酬額に最適化する。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</si>
</sst>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\円;\(#,##0&quot;円)&quot;;\-"/>
    <numFmt numFmtId="166" formatCode="#,##0\円;\(#,##0&quot;円)&quot;;\-"/>
    <numFmt numFmtId="167" formatCode="0\社"/>
    <numFmt numFmtId="168" formatCode="0.0%"/>
    <numFmt numFmtId="169" formatCode="0\分"/>
    <numFmt numFmtId="170" formatCode="0;\-;\-"/>
    <numFmt numFmtId="171" formatCode="#,##0;\(#,##0\);\-"/>
    <numFmt numFmtId="172" formatCode="0.0;\-;\-"/>
    <numFmt numFmtId="173" formatCode="0"/>
    <numFmt numFmtId="174" formatCode="0.0"/>
    <numFmt numFmtId="175" formatCode="0.0\h"/>
    <numFmt numFmtId="176" formatCode="0.0&quot;ヶ月&quot;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2A2E"/>
      <name val="Noto Sans CJK SC"/>
      <family val="2"/>
      <charset val="1"/>
    </font>
    <font>
      <i val="true"/>
      <sz val="9"/>
      <color rgb="FF54656B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color rgb="FF000000"/>
      <name val="Noto Sans CJK SC"/>
      <family val="2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4656B"/>
      <name val="Arial"/>
      <family val="0"/>
      <charset val="1"/>
    </font>
    <font>
      <i val="true"/>
      <sz val="9"/>
      <color rgb="FF54656B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b val="true"/>
      <sz val="14"/>
      <color rgb="FF1D2A2E"/>
      <name val="Arial"/>
      <family val="0"/>
      <charset val="1"/>
    </font>
    <font>
      <b val="true"/>
      <sz val="14"/>
      <color rgb="FF1D2A2E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Noto Sans CJK SC"/>
      <family val="2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C2452D"/>
      <name val="Arial"/>
      <family val="0"/>
      <charset val="1"/>
    </font>
    <font>
      <sz val="10"/>
      <color rgb="FF1D2A2E"/>
      <name val="Arial"/>
      <family val="0"/>
      <charset val="1"/>
    </font>
    <font>
      <sz val="10"/>
      <color rgb="FF1D2A2E"/>
      <name val="Noto Sans CJK SC"/>
      <family val="2"/>
      <charset val="1"/>
    </font>
    <font>
      <b val="true"/>
      <sz val="10"/>
      <color rgb="FFC2452D"/>
      <name val="Noto Sans CJK SC"/>
      <family val="2"/>
      <charset val="1"/>
    </font>
    <font>
      <b val="true"/>
      <sz val="10"/>
      <name val="Noto Sans CJK SC"/>
      <family val="2"/>
    </font>
    <font>
      <sz val="10"/>
      <color rgb="FF1D2A2E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27559B"/>
        <bgColor rgb="FF0066CC"/>
      </patternFill>
    </fill>
    <fill>
      <patternFill patternType="solid">
        <fgColor rgb="FFFFF6CC"/>
        <bgColor rgb="FFF2F4F3"/>
      </patternFill>
    </fill>
    <fill>
      <patternFill patternType="solid">
        <fgColor rgb="FFFFFFFF"/>
        <bgColor rgb="FFF2F4F3"/>
      </patternFill>
    </fill>
    <fill>
      <patternFill patternType="solid">
        <fgColor rgb="FFF2F4F3"/>
        <bgColor rgb="FFE6EDF7"/>
      </patternFill>
    </fill>
    <fill>
      <patternFill patternType="solid">
        <fgColor rgb="FFE6EDF7"/>
        <bgColor rgb="FFF2F4F3"/>
      </patternFill>
    </fill>
    <fill>
      <patternFill patternType="solid">
        <fgColor rgb="FFF7E3DE"/>
        <bgColor rgb="FFE6ED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9C5C4"/>
      </left>
      <right style="thin">
        <color rgb="FFB9C5C4"/>
      </right>
      <top style="thin">
        <color rgb="FFB9C5C4"/>
      </top>
      <bottom style="thin">
        <color rgb="FFB9C5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2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C5C4"/>
      <rgbColor rgb="FF808080"/>
      <rgbColor rgb="FF9999FF"/>
      <rgbColor rgb="FF993366"/>
      <rgbColor rgb="FFFFF6CC"/>
      <rgbColor rgb="FFE6ED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3"/>
      <rgbColor rgb="FFCCFFCC"/>
      <rgbColor rgb="FFFFFF99"/>
      <rgbColor rgb="FF99CCFF"/>
      <rgbColor rgb="FFFF99CC"/>
      <rgbColor rgb="FFCC99FF"/>
      <rgbColor rgb="FFF7E3DE"/>
      <rgbColor rgb="FF3366FF"/>
      <rgbColor rgb="FF33CCCC"/>
      <rgbColor rgb="FF99CC00"/>
      <rgbColor rgb="FFFFCC00"/>
      <rgbColor rgb="FFFF9900"/>
      <rgbColor rgb="FFFF6600"/>
      <rgbColor rgb="FF54656B"/>
      <rgbColor rgb="FF969696"/>
      <rgbColor rgb="FF003366"/>
      <rgbColor rgb="FF339966"/>
      <rgbColor rgb="FF003300"/>
      <rgbColor rgb="FF333300"/>
      <rgbColor rgb="FFC2452D"/>
      <rgbColor rgb="FF993366"/>
      <rgbColor rgb="FF27559B"/>
      <rgbColor rgb="FF1D2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21.7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4"/>
      <c r="D5" s="4"/>
    </row>
    <row r="6" customFormat="false" ht="15" hidden="false" customHeight="true" outlineLevel="0" collapsed="false">
      <c r="B6" s="5" t="s">
        <v>3</v>
      </c>
      <c r="C6" s="6" t="n">
        <v>2000000</v>
      </c>
      <c r="D6" s="7" t="s">
        <v>4</v>
      </c>
    </row>
    <row r="7" customFormat="false" ht="15" hidden="false" customHeight="true" outlineLevel="0" collapsed="false">
      <c r="B7" s="5" t="s">
        <v>5</v>
      </c>
      <c r="C7" s="8" t="n">
        <f aca="false">C20+C21+C22</f>
        <v>183500</v>
      </c>
      <c r="D7" s="7" t="s">
        <v>6</v>
      </c>
    </row>
    <row r="8" customFormat="false" ht="15" hidden="false" customHeight="true" outlineLevel="0" collapsed="false">
      <c r="B8" s="5" t="s">
        <v>7</v>
      </c>
      <c r="C8" s="6" t="n">
        <v>400000</v>
      </c>
      <c r="D8" s="7" t="s">
        <v>8</v>
      </c>
    </row>
    <row r="10" customFormat="false" ht="15" hidden="false" customHeight="true" outlineLevel="0" collapsed="false">
      <c r="B10" s="4" t="s">
        <v>9</v>
      </c>
      <c r="C10" s="4"/>
      <c r="D10" s="4"/>
    </row>
    <row r="11" customFormat="false" ht="15" hidden="false" customHeight="true" outlineLevel="0" collapsed="false">
      <c r="B11" s="5" t="s">
        <v>10</v>
      </c>
      <c r="C11" s="6" t="n">
        <v>100000</v>
      </c>
      <c r="D11" s="7" t="s">
        <v>11</v>
      </c>
    </row>
    <row r="12" customFormat="false" ht="15" hidden="false" customHeight="true" outlineLevel="0" collapsed="false">
      <c r="B12" s="5" t="s">
        <v>12</v>
      </c>
      <c r="C12" s="6" t="n">
        <v>300000</v>
      </c>
      <c r="D12" s="7" t="s">
        <v>13</v>
      </c>
    </row>
    <row r="13" customFormat="false" ht="15" hidden="false" customHeight="true" outlineLevel="0" collapsed="false">
      <c r="B13" s="5" t="s">
        <v>14</v>
      </c>
      <c r="C13" s="6" t="n">
        <v>750000</v>
      </c>
      <c r="D13" s="7" t="s">
        <v>15</v>
      </c>
    </row>
    <row r="14" customFormat="false" ht="15" hidden="false" customHeight="true" outlineLevel="0" collapsed="false">
      <c r="B14" s="5" t="s">
        <v>16</v>
      </c>
      <c r="C14" s="6" t="n">
        <v>70000</v>
      </c>
      <c r="D14" s="7" t="s">
        <v>17</v>
      </c>
    </row>
    <row r="16" customFormat="false" ht="15" hidden="false" customHeight="true" outlineLevel="0" collapsed="false">
      <c r="B16" s="4" t="s">
        <v>18</v>
      </c>
      <c r="C16" s="4"/>
      <c r="D16" s="4"/>
    </row>
    <row r="17" customFormat="false" ht="15" hidden="false" customHeight="true" outlineLevel="0" collapsed="false">
      <c r="B17" s="5" t="s">
        <v>19</v>
      </c>
      <c r="C17" s="9" t="n">
        <v>3</v>
      </c>
      <c r="D17" s="10" t="s">
        <v>20</v>
      </c>
    </row>
    <row r="19" customFormat="false" ht="15" hidden="false" customHeight="true" outlineLevel="0" collapsed="false">
      <c r="B19" s="4" t="s">
        <v>21</v>
      </c>
      <c r="C19" s="4"/>
      <c r="D19" s="4"/>
    </row>
    <row r="20" customFormat="false" ht="15" hidden="false" customHeight="true" outlineLevel="0" collapsed="false">
      <c r="B20" s="5" t="s">
        <v>22</v>
      </c>
      <c r="C20" s="6" t="n">
        <v>70000</v>
      </c>
      <c r="D20" s="7" t="s">
        <v>23</v>
      </c>
    </row>
    <row r="21" customFormat="false" ht="15" hidden="false" customHeight="true" outlineLevel="0" collapsed="false">
      <c r="B21" s="5" t="s">
        <v>24</v>
      </c>
      <c r="C21" s="6" t="n">
        <v>11000</v>
      </c>
      <c r="D21" s="7" t="s">
        <v>25</v>
      </c>
    </row>
    <row r="22" customFormat="false" ht="15" hidden="false" customHeight="true" outlineLevel="0" collapsed="false">
      <c r="B22" s="5" t="s">
        <v>26</v>
      </c>
      <c r="C22" s="6" t="n">
        <v>102500</v>
      </c>
      <c r="D22" s="7" t="s">
        <v>27</v>
      </c>
    </row>
    <row r="23" customFormat="false" ht="15" hidden="false" customHeight="true" outlineLevel="0" collapsed="false">
      <c r="B23" s="5" t="s">
        <v>28</v>
      </c>
      <c r="C23" s="11" t="n">
        <v>0.5</v>
      </c>
      <c r="D23" s="7" t="s">
        <v>29</v>
      </c>
    </row>
    <row r="24" customFormat="false" ht="15" hidden="false" customHeight="true" outlineLevel="0" collapsed="false">
      <c r="B24" s="5" t="s">
        <v>30</v>
      </c>
      <c r="C24" s="11" t="n">
        <v>0.1</v>
      </c>
      <c r="D24" s="10"/>
    </row>
    <row r="25" customFormat="false" ht="15" hidden="false" customHeight="true" outlineLevel="0" collapsed="false">
      <c r="B25" s="5" t="s">
        <v>31</v>
      </c>
      <c r="C25" s="11" t="n">
        <v>0.25</v>
      </c>
      <c r="D25" s="7" t="s">
        <v>32</v>
      </c>
    </row>
    <row r="26" customFormat="false" ht="15" hidden="false" customHeight="true" outlineLevel="0" collapsed="false">
      <c r="B26" s="5" t="s">
        <v>33</v>
      </c>
      <c r="C26" s="6" t="n">
        <v>70000</v>
      </c>
      <c r="D26" s="7" t="s">
        <v>34</v>
      </c>
    </row>
    <row r="28" customFormat="false" ht="15" hidden="false" customHeight="false" outlineLevel="0" collapsed="false">
      <c r="B28" s="12" t="s">
        <v>35</v>
      </c>
      <c r="C28" s="12"/>
      <c r="D28" s="12"/>
    </row>
    <row r="29" customFormat="false" ht="15" hidden="false" customHeight="false" outlineLevel="0" collapsed="false">
      <c r="B29" s="13" t="s">
        <v>36</v>
      </c>
      <c r="C29" s="11" t="n">
        <v>0.15</v>
      </c>
      <c r="D29" s="10" t="s">
        <v>37</v>
      </c>
    </row>
    <row r="30" customFormat="false" ht="15" hidden="false" customHeight="false" outlineLevel="0" collapsed="false">
      <c r="B30" s="13" t="s">
        <v>38</v>
      </c>
      <c r="C30" s="11" t="n">
        <v>0.35</v>
      </c>
      <c r="D30" s="14" t="s">
        <v>39</v>
      </c>
    </row>
    <row r="31" customFormat="false" ht="15" hidden="false" customHeight="false" outlineLevel="0" collapsed="false">
      <c r="B31" s="13" t="s">
        <v>40</v>
      </c>
      <c r="C31" s="11" t="n">
        <v>0.5</v>
      </c>
      <c r="D31" s="14" t="s">
        <v>41</v>
      </c>
    </row>
    <row r="32" customFormat="false" ht="15" hidden="false" customHeight="false" outlineLevel="0" collapsed="false">
      <c r="B32" s="15" t="s">
        <v>42</v>
      </c>
      <c r="C32" s="16" t="n">
        <v>30</v>
      </c>
      <c r="D32" s="14" t="s">
        <v>43</v>
      </c>
    </row>
    <row r="34" customFormat="false" ht="15" hidden="false" customHeight="false" outlineLevel="0" collapsed="false">
      <c r="B34" s="12" t="s">
        <v>44</v>
      </c>
      <c r="C34" s="12"/>
      <c r="D34" s="12"/>
    </row>
    <row r="35" customFormat="false" ht="15" hidden="false" customHeight="false" outlineLevel="0" collapsed="false">
      <c r="B35" s="13" t="s">
        <v>45</v>
      </c>
      <c r="C35" s="17" t="n">
        <v>2000000</v>
      </c>
      <c r="D35" s="14" t="s">
        <v>46</v>
      </c>
    </row>
    <row r="36" customFormat="false" ht="15" hidden="false" customHeight="false" outlineLevel="0" collapsed="false">
      <c r="B36" s="13" t="s">
        <v>47</v>
      </c>
      <c r="C36" s="17" t="n">
        <v>500000</v>
      </c>
      <c r="D36" s="14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15" min="3" style="1" width="11"/>
  </cols>
  <sheetData>
    <row r="2" customFormat="false" ht="21.75" hidden="false" customHeight="true" outlineLevel="0" collapsed="false">
      <c r="B2" s="18" t="s">
        <v>49</v>
      </c>
    </row>
    <row r="3" customFormat="false" ht="15" hidden="false" customHeight="true" outlineLevel="0" collapsed="false">
      <c r="B3" s="3" t="s">
        <v>50</v>
      </c>
    </row>
    <row r="5" customFormat="false" ht="15" hidden="false" customHeight="true" outlineLevel="0" collapsed="false">
      <c r="B5" s="4" t="s">
        <v>51</v>
      </c>
      <c r="C5" s="19" t="s">
        <v>52</v>
      </c>
      <c r="D5" s="19" t="s">
        <v>53</v>
      </c>
      <c r="E5" s="19" t="s">
        <v>54</v>
      </c>
      <c r="F5" s="19" t="s">
        <v>55</v>
      </c>
      <c r="G5" s="19" t="s">
        <v>56</v>
      </c>
      <c r="H5" s="19" t="s">
        <v>57</v>
      </c>
      <c r="I5" s="19" t="s">
        <v>58</v>
      </c>
      <c r="J5" s="19" t="s">
        <v>59</v>
      </c>
      <c r="K5" s="19" t="s">
        <v>60</v>
      </c>
      <c r="L5" s="19" t="s">
        <v>61</v>
      </c>
      <c r="M5" s="19" t="s">
        <v>62</v>
      </c>
      <c r="N5" s="19" t="s">
        <v>63</v>
      </c>
      <c r="O5" s="19" t="s">
        <v>63</v>
      </c>
    </row>
    <row r="6" customFormat="false" ht="15" hidden="false" customHeight="true" outlineLevel="0" collapsed="false">
      <c r="B6" s="20" t="s">
        <v>64</v>
      </c>
      <c r="C6" s="21" t="n">
        <v>1</v>
      </c>
      <c r="D6" s="21" t="n">
        <v>1</v>
      </c>
      <c r="E6" s="21" t="n">
        <v>1</v>
      </c>
      <c r="F6" s="21" t="n">
        <v>1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</row>
    <row r="7" customFormat="false" ht="15" hidden="false" customHeight="true" outlineLevel="0" collapsed="false">
      <c r="B7" s="20" t="s">
        <v>65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1</v>
      </c>
      <c r="K7" s="21" t="n">
        <v>0</v>
      </c>
      <c r="L7" s="21" t="n">
        <v>1</v>
      </c>
      <c r="M7" s="21" t="n">
        <v>0</v>
      </c>
      <c r="N7" s="21" t="n">
        <v>1</v>
      </c>
    </row>
    <row r="8" customFormat="false" ht="15" hidden="false" customHeight="true" outlineLevel="0" collapsed="false">
      <c r="B8" s="20" t="s">
        <v>66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1</v>
      </c>
      <c r="H8" s="21" t="n">
        <v>1</v>
      </c>
      <c r="I8" s="21" t="n">
        <v>1</v>
      </c>
      <c r="J8" s="21" t="n">
        <v>1</v>
      </c>
      <c r="K8" s="21" t="n">
        <v>2</v>
      </c>
      <c r="L8" s="21" t="n">
        <v>2</v>
      </c>
      <c r="M8" s="21" t="n">
        <v>2</v>
      </c>
      <c r="N8" s="21" t="n">
        <v>2</v>
      </c>
    </row>
    <row r="9" customFormat="false" ht="15" hidden="false" customHeight="true" outlineLevel="0" collapsed="false">
      <c r="B9" s="20" t="s">
        <v>67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1</v>
      </c>
      <c r="M9" s="21" t="n">
        <v>1</v>
      </c>
      <c r="N9" s="21" t="n">
        <v>1</v>
      </c>
    </row>
    <row r="11" customFormat="false" ht="15" hidden="false" customHeight="true" outlineLevel="0" collapsed="false">
      <c r="B11" s="22" t="s">
        <v>68</v>
      </c>
      <c r="C11" s="23" t="n">
        <f aca="false">C6*前提!$C$11+C7*前提!$C$12+C8*前提!$C$13+C9*前提!$C$14</f>
        <v>100000</v>
      </c>
      <c r="D11" s="23" t="n">
        <f aca="false">D6*前提!$C$11+D7*前提!$C$12+D8*前提!$C$13+D9*前提!$C$14</f>
        <v>100000</v>
      </c>
      <c r="E11" s="23" t="n">
        <f aca="false">E6*前提!$C$11+E7*前提!$C$12+E8*前提!$C$13+E9*前提!$C$14</f>
        <v>100000</v>
      </c>
      <c r="F11" s="23" t="n">
        <f aca="false">F6*前提!$C$11+F7*前提!$C$12+F8*前提!$C$13+F9*前提!$C$14</f>
        <v>100000</v>
      </c>
      <c r="G11" s="23" t="n">
        <f aca="false">G6*前提!$C$11+G7*前提!$C$12+G8*前提!$C$13+G9*前提!$C$14</f>
        <v>750000</v>
      </c>
      <c r="H11" s="23" t="n">
        <f aca="false">H6*前提!$C$11+H7*前提!$C$12+H8*前提!$C$13+H9*前提!$C$14</f>
        <v>750000</v>
      </c>
      <c r="I11" s="23" t="n">
        <f aca="false">I6*前提!$C$11+I7*前提!$C$12+I8*前提!$C$13+I9*前提!$C$14</f>
        <v>750000</v>
      </c>
      <c r="J11" s="23" t="n">
        <f aca="false">J6*前提!$C$11+J7*前提!$C$12+J8*前提!$C$13+J9*前提!$C$14</f>
        <v>1050000</v>
      </c>
      <c r="K11" s="23" t="n">
        <f aca="false">K6*前提!$C$11+K7*前提!$C$12+K8*前提!$C$13+K9*前提!$C$14</f>
        <v>1500000</v>
      </c>
      <c r="L11" s="23" t="n">
        <f aca="false">L6*前提!$C$11+L7*前提!$C$12+L8*前提!$C$13+L9*前提!$C$14</f>
        <v>1870000</v>
      </c>
      <c r="M11" s="23" t="n">
        <f aca="false">M6*前提!$C$11+M7*前提!$C$12+M8*前提!$C$13+M9*前提!$C$14</f>
        <v>1570000</v>
      </c>
      <c r="N11" s="23" t="n">
        <f aca="false">N6*前提!$C$11+N7*前提!$C$12+N8*前提!$C$13+N9*前提!$C$14</f>
        <v>1870000</v>
      </c>
    </row>
    <row r="12" customFormat="false" ht="15" hidden="false" customHeight="true" outlineLevel="0" collapsed="false">
      <c r="B12" s="5" t="s">
        <v>69</v>
      </c>
      <c r="C12" s="24" t="n">
        <f aca="false">前提!$C$8</f>
        <v>400000</v>
      </c>
      <c r="D12" s="24" t="n">
        <f aca="false">前提!$C$8</f>
        <v>400000</v>
      </c>
      <c r="E12" s="24" t="n">
        <f aca="false">前提!$C$8</f>
        <v>400000</v>
      </c>
      <c r="F12" s="24" t="n">
        <f aca="false">前提!$C$8</f>
        <v>400000</v>
      </c>
      <c r="G12" s="24" t="n">
        <f aca="false">前提!$C$8</f>
        <v>400000</v>
      </c>
      <c r="H12" s="24" t="n">
        <f aca="false">前提!$C$8</f>
        <v>400000</v>
      </c>
      <c r="I12" s="24" t="n">
        <f aca="false">前提!$C$8</f>
        <v>400000</v>
      </c>
      <c r="J12" s="24" t="n">
        <f aca="false">前提!$C$8</f>
        <v>400000</v>
      </c>
      <c r="K12" s="24" t="n">
        <f aca="false">前提!$C$8</f>
        <v>400000</v>
      </c>
      <c r="L12" s="24" t="n">
        <f aca="false">前提!$C$8</f>
        <v>400000</v>
      </c>
      <c r="M12" s="24" t="n">
        <f aca="false">前提!$C$8</f>
        <v>400000</v>
      </c>
      <c r="N12" s="24" t="n">
        <f aca="false">前提!$C$8</f>
        <v>400000</v>
      </c>
    </row>
    <row r="13" customFormat="false" ht="15" hidden="false" customHeight="true" outlineLevel="0" collapsed="false">
      <c r="B13" s="22" t="s">
        <v>70</v>
      </c>
      <c r="C13" s="23" t="n">
        <f aca="false">C11+C12</f>
        <v>500000</v>
      </c>
      <c r="D13" s="23" t="n">
        <f aca="false">D11+D12</f>
        <v>500000</v>
      </c>
      <c r="E13" s="23" t="n">
        <f aca="false">E11+E12</f>
        <v>500000</v>
      </c>
      <c r="F13" s="23" t="n">
        <f aca="false">F11+F12</f>
        <v>500000</v>
      </c>
      <c r="G13" s="23" t="n">
        <f aca="false">G11+G12</f>
        <v>1150000</v>
      </c>
      <c r="H13" s="23" t="n">
        <f aca="false">H11+H12</f>
        <v>1150000</v>
      </c>
      <c r="I13" s="23" t="n">
        <f aca="false">I11+I12</f>
        <v>1150000</v>
      </c>
      <c r="J13" s="23" t="n">
        <f aca="false">J11+J12</f>
        <v>1450000</v>
      </c>
      <c r="K13" s="23" t="n">
        <f aca="false">K11+K12</f>
        <v>1900000</v>
      </c>
      <c r="L13" s="23" t="n">
        <f aca="false">L11+L12</f>
        <v>2270000</v>
      </c>
      <c r="M13" s="23" t="n">
        <f aca="false">M11+M12</f>
        <v>1970000</v>
      </c>
      <c r="N13" s="23" t="n">
        <f aca="false">N11+N12</f>
        <v>2270000</v>
      </c>
    </row>
    <row r="15" customFormat="false" ht="15" hidden="false" customHeight="true" outlineLevel="0" collapsed="false">
      <c r="B15" s="5" t="s">
        <v>71</v>
      </c>
      <c r="C15" s="24" t="n">
        <f aca="false">前提!$C$7</f>
        <v>183500</v>
      </c>
      <c r="D15" s="24" t="n">
        <f aca="false">前提!$C$7</f>
        <v>183500</v>
      </c>
      <c r="E15" s="24" t="n">
        <f aca="false">前提!$C$7</f>
        <v>183500</v>
      </c>
      <c r="F15" s="24" t="n">
        <f aca="false">前提!$C$7</f>
        <v>183500</v>
      </c>
      <c r="G15" s="24" t="n">
        <f aca="false">前提!$C$7</f>
        <v>183500</v>
      </c>
      <c r="H15" s="24" t="n">
        <f aca="false">前提!$C$7</f>
        <v>183500</v>
      </c>
      <c r="I15" s="24" t="n">
        <f aca="false">前提!$C$7</f>
        <v>183500</v>
      </c>
      <c r="J15" s="24" t="n">
        <f aca="false">前提!$C$7</f>
        <v>183500</v>
      </c>
      <c r="K15" s="24" t="n">
        <f aca="false">前提!$C$7</f>
        <v>183500</v>
      </c>
      <c r="L15" s="24" t="n">
        <f aca="false">前提!$C$7</f>
        <v>183500</v>
      </c>
      <c r="M15" s="24" t="n">
        <f aca="false">前提!$C$7</f>
        <v>183500</v>
      </c>
      <c r="N15" s="24" t="n">
        <f aca="false">前提!$C$7</f>
        <v>183500</v>
      </c>
    </row>
    <row r="16" customFormat="false" ht="15" hidden="false" customHeight="true" outlineLevel="0" collapsed="false">
      <c r="B16" s="25" t="s">
        <v>72</v>
      </c>
      <c r="C16" s="23" t="n">
        <f aca="false">C13-C15</f>
        <v>316500</v>
      </c>
      <c r="D16" s="23" t="n">
        <f aca="false">D13-D15</f>
        <v>316500</v>
      </c>
      <c r="E16" s="23" t="n">
        <f aca="false">E13-E15</f>
        <v>316500</v>
      </c>
      <c r="F16" s="23" t="n">
        <f aca="false">F13-F15</f>
        <v>316500</v>
      </c>
      <c r="G16" s="23" t="n">
        <f aca="false">G13-G15</f>
        <v>966500</v>
      </c>
      <c r="H16" s="23" t="n">
        <f aca="false">H13-H15</f>
        <v>966500</v>
      </c>
      <c r="I16" s="23" t="n">
        <f aca="false">I13-I15</f>
        <v>966500</v>
      </c>
      <c r="J16" s="23" t="n">
        <f aca="false">J13-J15</f>
        <v>1266500</v>
      </c>
      <c r="K16" s="23" t="n">
        <f aca="false">K13-K15</f>
        <v>1716500</v>
      </c>
      <c r="L16" s="23" t="n">
        <f aca="false">L13-L15</f>
        <v>2086500</v>
      </c>
      <c r="M16" s="23" t="n">
        <f aca="false">M13-M15</f>
        <v>1786500</v>
      </c>
      <c r="N16" s="23" t="n">
        <f aca="false">N13-N15</f>
        <v>2086500</v>
      </c>
    </row>
    <row r="17" customFormat="false" ht="15" hidden="false" customHeight="true" outlineLevel="0" collapsed="false">
      <c r="B17" s="26" t="s">
        <v>73</v>
      </c>
      <c r="C17" s="23" t="n">
        <f aca="false">前提!$C$6+C16</f>
        <v>2316500</v>
      </c>
      <c r="D17" s="23" t="n">
        <f aca="false">C17+D16</f>
        <v>2633000</v>
      </c>
      <c r="E17" s="23" t="n">
        <f aca="false">D17+E16</f>
        <v>2949500</v>
      </c>
      <c r="F17" s="23" t="n">
        <f aca="false">E17+F16</f>
        <v>3266000</v>
      </c>
      <c r="G17" s="23" t="n">
        <f aca="false">F17+G16</f>
        <v>4232500</v>
      </c>
      <c r="H17" s="23" t="n">
        <f aca="false">G17+H16</f>
        <v>5199000</v>
      </c>
      <c r="I17" s="23" t="n">
        <f aca="false">H17+I16</f>
        <v>6165500</v>
      </c>
      <c r="J17" s="23" t="n">
        <f aca="false">I17+J16</f>
        <v>7432000</v>
      </c>
      <c r="K17" s="23" t="n">
        <f aca="false">J17+K16</f>
        <v>9148500</v>
      </c>
      <c r="L17" s="23" t="n">
        <f aca="false">K17+L16</f>
        <v>11235000</v>
      </c>
      <c r="M17" s="23" t="n">
        <f aca="false">L17+M16</f>
        <v>13021500</v>
      </c>
      <c r="N17" s="23" t="n">
        <f aca="false">M17+N16</f>
        <v>15108000</v>
      </c>
    </row>
    <row r="19" customFormat="false" ht="15" hidden="false" customHeight="true" outlineLevel="0" collapsed="false">
      <c r="B19" s="27" t="s">
        <v>74</v>
      </c>
      <c r="C19" s="28" t="n">
        <f aca="false">SUM(C11:N11)</f>
        <v>10510000</v>
      </c>
    </row>
    <row r="20" customFormat="false" ht="15" hidden="false" customHeight="true" outlineLevel="0" collapsed="false">
      <c r="B20" s="27" t="s">
        <v>75</v>
      </c>
      <c r="C20" s="29" t="n">
        <f aca="false">N17</f>
        <v>15108000</v>
      </c>
    </row>
    <row r="21" customFormat="false" ht="15" hidden="false" customHeight="true" outlineLevel="0" collapsed="false">
      <c r="B21" s="27" t="s">
        <v>76</v>
      </c>
      <c r="C21" s="30" t="n">
        <f aca="false">MIN(C17:N17)</f>
        <v>2316500</v>
      </c>
      <c r="D21" s="3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14" min="3" style="1" width="10"/>
  </cols>
  <sheetData>
    <row r="2" customFormat="false" ht="21.75" hidden="false" customHeight="true" outlineLevel="0" collapsed="false">
      <c r="B2" s="18" t="s">
        <v>78</v>
      </c>
    </row>
    <row r="3" customFormat="false" ht="15" hidden="false" customHeight="true" outlineLevel="0" collapsed="false">
      <c r="B3" s="3" t="s">
        <v>79</v>
      </c>
    </row>
    <row r="5" customFormat="false" ht="15" hidden="false" customHeight="true" outlineLevel="0" collapsed="false">
      <c r="B5" s="4" t="s">
        <v>51</v>
      </c>
      <c r="C5" s="19" t="s">
        <v>80</v>
      </c>
      <c r="D5" s="19" t="s">
        <v>81</v>
      </c>
      <c r="E5" s="19" t="s">
        <v>82</v>
      </c>
      <c r="F5" s="19" t="s">
        <v>83</v>
      </c>
      <c r="G5" s="19" t="s">
        <v>84</v>
      </c>
      <c r="H5" s="19" t="s">
        <v>85</v>
      </c>
      <c r="I5" s="19" t="s">
        <v>86</v>
      </c>
      <c r="J5" s="19" t="s">
        <v>87</v>
      </c>
      <c r="K5" s="19" t="s">
        <v>88</v>
      </c>
      <c r="L5" s="19" t="s">
        <v>89</v>
      </c>
      <c r="M5" s="19" t="s">
        <v>90</v>
      </c>
      <c r="N5" s="19" t="s">
        <v>91</v>
      </c>
    </row>
    <row r="6" customFormat="false" ht="15" hidden="false" customHeight="true" outlineLevel="0" collapsed="false">
      <c r="B6" s="5" t="s">
        <v>92</v>
      </c>
      <c r="C6" s="31" t="n">
        <v>3</v>
      </c>
      <c r="D6" s="31" t="n">
        <v>2</v>
      </c>
      <c r="E6" s="31" t="n">
        <v>2</v>
      </c>
      <c r="F6" s="31" t="n">
        <v>2</v>
      </c>
      <c r="G6" s="31" t="n">
        <v>2</v>
      </c>
      <c r="H6" s="31" t="n">
        <v>2</v>
      </c>
      <c r="I6" s="31" t="n">
        <v>2</v>
      </c>
      <c r="J6" s="31" t="n">
        <v>2</v>
      </c>
      <c r="K6" s="31" t="n">
        <v>1</v>
      </c>
      <c r="L6" s="31" t="n">
        <v>1</v>
      </c>
      <c r="M6" s="31" t="n">
        <v>1</v>
      </c>
      <c r="N6" s="31" t="n">
        <v>1</v>
      </c>
    </row>
    <row r="7" customFormat="false" ht="15" hidden="false" customHeight="true" outlineLevel="0" collapsed="false">
      <c r="B7" s="5" t="s">
        <v>93</v>
      </c>
      <c r="C7" s="31" t="n">
        <v>0</v>
      </c>
      <c r="D7" s="31" t="n">
        <v>1</v>
      </c>
      <c r="E7" s="31" t="n">
        <v>1.5</v>
      </c>
      <c r="F7" s="31" t="n">
        <v>2</v>
      </c>
      <c r="G7" s="31" t="n">
        <v>2</v>
      </c>
      <c r="H7" s="31" t="n">
        <v>2</v>
      </c>
      <c r="I7" s="31" t="n">
        <v>2</v>
      </c>
      <c r="J7" s="31" t="n">
        <v>2</v>
      </c>
      <c r="K7" s="31" t="n">
        <v>2</v>
      </c>
      <c r="L7" s="31" t="n">
        <v>2</v>
      </c>
      <c r="M7" s="31" t="n">
        <v>2</v>
      </c>
      <c r="N7" s="31" t="n">
        <v>2</v>
      </c>
    </row>
    <row r="8" customFormat="false" ht="15" hidden="false" customHeight="true" outlineLevel="0" collapsed="false">
      <c r="B8" s="5" t="s">
        <v>94</v>
      </c>
      <c r="C8" s="21" t="n">
        <v>0</v>
      </c>
      <c r="D8" s="21" t="n">
        <v>0</v>
      </c>
      <c r="E8" s="21" t="n">
        <v>0</v>
      </c>
      <c r="F8" s="21" t="n">
        <v>1</v>
      </c>
      <c r="G8" s="21" t="n">
        <v>2</v>
      </c>
      <c r="H8" s="21" t="n">
        <v>3</v>
      </c>
      <c r="I8" s="21" t="n">
        <v>4</v>
      </c>
      <c r="J8" s="21" t="n">
        <v>5</v>
      </c>
      <c r="K8" s="21" t="n">
        <v>6</v>
      </c>
      <c r="L8" s="21" t="n">
        <v>7</v>
      </c>
      <c r="M8" s="21" t="n">
        <v>8</v>
      </c>
      <c r="N8" s="21" t="n">
        <v>9</v>
      </c>
    </row>
    <row r="10" customFormat="false" ht="15" hidden="false" customHeight="true" outlineLevel="0" collapsed="false">
      <c r="B10" s="22" t="s">
        <v>95</v>
      </c>
      <c r="C10" s="23" t="n">
        <f aca="false">C6*前提!$C$11+C7*前提!$C$13*3+C8*前提!$C$14*3</f>
        <v>300000</v>
      </c>
      <c r="D10" s="23" t="n">
        <f aca="false">D6*前提!$C$11+D7*前提!$C$13*3+D8*前提!$C$14*3</f>
        <v>2450000</v>
      </c>
      <c r="E10" s="23" t="n">
        <f aca="false">E6*前提!$C$12+E7*前提!$C$13*3+E8*前提!$C$14*3</f>
        <v>3975000</v>
      </c>
      <c r="F10" s="23" t="n">
        <f aca="false">F6*前提!$C$12+F7*前提!$C$13*3+F8*前提!$C$14*3</f>
        <v>5310000</v>
      </c>
      <c r="G10" s="23" t="n">
        <f aca="false">G6*前提!$C$12+G7*前提!$C$13*3+G8*前提!$C$14*3</f>
        <v>5520000</v>
      </c>
      <c r="H10" s="23" t="n">
        <f aca="false">H6*前提!$C$12+H7*前提!$C$13*3+H8*前提!$C$14*3</f>
        <v>5730000</v>
      </c>
      <c r="I10" s="23" t="n">
        <f aca="false">I6*前提!$C$12+I7*前提!$C$13*3+I8*前提!$C$14*3</f>
        <v>5940000</v>
      </c>
      <c r="J10" s="23" t="n">
        <f aca="false">J6*前提!$C$12+J7*前提!$C$13*3+J8*前提!$C$14*3</f>
        <v>6150000</v>
      </c>
      <c r="K10" s="23" t="n">
        <f aca="false">K6*前提!$C$12+K7*前提!$C$13*3+K8*前提!$C$14*3</f>
        <v>6060000</v>
      </c>
      <c r="L10" s="23" t="n">
        <f aca="false">L6*前提!$C$12+L7*前提!$C$13*3+L8*前提!$C$14*3</f>
        <v>6270000</v>
      </c>
      <c r="M10" s="23" t="n">
        <f aca="false">M6*前提!$C$12+M7*前提!$C$13*3+M8*前提!$C$14*3</f>
        <v>6480000</v>
      </c>
      <c r="N10" s="23" t="n">
        <f aca="false">N6*前提!$C$12+N7*前提!$C$13*3+N8*前提!$C$14*3</f>
        <v>6690000</v>
      </c>
    </row>
    <row r="11" customFormat="false" ht="15" hidden="false" customHeight="true" outlineLevel="0" collapsed="false">
      <c r="B11" s="5" t="s">
        <v>96</v>
      </c>
      <c r="C11" s="24" t="n">
        <f aca="false">前提!$C$8*3</f>
        <v>1200000</v>
      </c>
      <c r="D11" s="24" t="n">
        <f aca="false">前提!$C$8*3</f>
        <v>1200000</v>
      </c>
      <c r="E11" s="24" t="n">
        <f aca="false">前提!$C$8*3</f>
        <v>1200000</v>
      </c>
      <c r="F11" s="24" t="n">
        <f aca="false">前提!$C$8*3</f>
        <v>1200000</v>
      </c>
      <c r="G11" s="24" t="n">
        <f aca="false">前提!$C$8*3</f>
        <v>1200000</v>
      </c>
      <c r="H11" s="24" t="n">
        <f aca="false">前提!$C$8*3</f>
        <v>1200000</v>
      </c>
      <c r="I11" s="24" t="n">
        <f aca="false">前提!$C$8*3</f>
        <v>1200000</v>
      </c>
      <c r="J11" s="24" t="n">
        <f aca="false">前提!$C$8*3</f>
        <v>1200000</v>
      </c>
      <c r="K11" s="24" t="n">
        <f aca="false">前提!$C$8*3</f>
        <v>1200000</v>
      </c>
      <c r="L11" s="24" t="n">
        <f aca="false">前提!$C$8*3</f>
        <v>1200000</v>
      </c>
      <c r="M11" s="24" t="n">
        <f aca="false">前提!$C$8*3</f>
        <v>1200000</v>
      </c>
      <c r="N11" s="24" t="n">
        <f aca="false">前提!$C$8*3</f>
        <v>1200000</v>
      </c>
    </row>
    <row r="12" customFormat="false" ht="15" hidden="false" customHeight="true" outlineLevel="0" collapsed="false">
      <c r="B12" s="22" t="s">
        <v>97</v>
      </c>
      <c r="C12" s="23" t="n">
        <f aca="false">C10+C11</f>
        <v>1500000</v>
      </c>
      <c r="D12" s="23" t="n">
        <f aca="false">D10+D11</f>
        <v>3650000</v>
      </c>
      <c r="E12" s="23" t="n">
        <f aca="false">E10+E11</f>
        <v>5175000</v>
      </c>
      <c r="F12" s="23" t="n">
        <f aca="false">F10+F11</f>
        <v>6510000</v>
      </c>
      <c r="G12" s="23" t="n">
        <f aca="false">G10+G11</f>
        <v>6720000</v>
      </c>
      <c r="H12" s="23" t="n">
        <f aca="false">H10+H11</f>
        <v>6930000</v>
      </c>
      <c r="I12" s="23" t="n">
        <f aca="false">I10+I11</f>
        <v>7140000</v>
      </c>
      <c r="J12" s="23" t="n">
        <f aca="false">J10+J11</f>
        <v>7350000</v>
      </c>
      <c r="K12" s="23" t="n">
        <f aca="false">K10+K11</f>
        <v>7260000</v>
      </c>
      <c r="L12" s="23" t="n">
        <f aca="false">L10+L11</f>
        <v>7470000</v>
      </c>
      <c r="M12" s="23" t="n">
        <f aca="false">M10+M11</f>
        <v>7680000</v>
      </c>
      <c r="N12" s="23" t="n">
        <f aca="false">N10+N11</f>
        <v>7890000</v>
      </c>
    </row>
    <row r="13" customFormat="false" ht="15" hidden="false" customHeight="true" outlineLevel="0" collapsed="false">
      <c r="B13" s="5" t="s">
        <v>98</v>
      </c>
      <c r="C13" s="24" t="n">
        <f aca="false">前提!$C$7*3</f>
        <v>550500</v>
      </c>
      <c r="D13" s="24" t="n">
        <f aca="false">前提!$C$7*3</f>
        <v>550500</v>
      </c>
      <c r="E13" s="24" t="n">
        <f aca="false">前提!$C$7*3</f>
        <v>550500</v>
      </c>
      <c r="F13" s="24" t="n">
        <f aca="false">前提!$C$7*3</f>
        <v>550500</v>
      </c>
      <c r="G13" s="24" t="n">
        <f aca="false">前提!$C$7*3</f>
        <v>550500</v>
      </c>
      <c r="H13" s="24" t="n">
        <f aca="false">前提!$C$7*3</f>
        <v>550500</v>
      </c>
      <c r="I13" s="24" t="n">
        <f aca="false">前提!$C$7*3</f>
        <v>550500</v>
      </c>
      <c r="J13" s="24" t="n">
        <f aca="false">前提!$C$7*3</f>
        <v>550500</v>
      </c>
      <c r="K13" s="24" t="n">
        <f aca="false">前提!$C$7*3</f>
        <v>550500</v>
      </c>
      <c r="L13" s="24" t="n">
        <f aca="false">前提!$C$7*3</f>
        <v>550500</v>
      </c>
      <c r="M13" s="24" t="n">
        <f aca="false">前提!$C$7*3</f>
        <v>550500</v>
      </c>
      <c r="N13" s="24" t="n">
        <f aca="false">前提!$C$7*3</f>
        <v>550500</v>
      </c>
    </row>
    <row r="14" customFormat="false" ht="15" hidden="false" customHeight="true" outlineLevel="0" collapsed="false">
      <c r="B14" s="25" t="s">
        <v>99</v>
      </c>
      <c r="C14" s="23" t="n">
        <f aca="false">C12-C13</f>
        <v>949500</v>
      </c>
      <c r="D14" s="23" t="n">
        <f aca="false">D12-D13</f>
        <v>3099500</v>
      </c>
      <c r="E14" s="23" t="n">
        <f aca="false">E12-E13</f>
        <v>4624500</v>
      </c>
      <c r="F14" s="23" t="n">
        <f aca="false">F12-F13</f>
        <v>5959500</v>
      </c>
      <c r="G14" s="23" t="n">
        <f aca="false">G12-G13</f>
        <v>6169500</v>
      </c>
      <c r="H14" s="23" t="n">
        <f aca="false">H12-H13</f>
        <v>6379500</v>
      </c>
      <c r="I14" s="23" t="n">
        <f aca="false">I12-I13</f>
        <v>6589500</v>
      </c>
      <c r="J14" s="23" t="n">
        <f aca="false">J12-J13</f>
        <v>6799500</v>
      </c>
      <c r="K14" s="23" t="n">
        <f aca="false">K12-K13</f>
        <v>6709500</v>
      </c>
      <c r="L14" s="23" t="n">
        <f aca="false">L12-L13</f>
        <v>6919500</v>
      </c>
      <c r="M14" s="23" t="n">
        <f aca="false">M12-M13</f>
        <v>7129500</v>
      </c>
      <c r="N14" s="23" t="n">
        <f aca="false">N12-N13</f>
        <v>7339500</v>
      </c>
    </row>
    <row r="15" customFormat="false" ht="15" hidden="false" customHeight="true" outlineLevel="0" collapsed="false">
      <c r="B15" s="26" t="s">
        <v>100</v>
      </c>
      <c r="C15" s="23" t="n">
        <f aca="false">前提!$C$6+C14</f>
        <v>2949500</v>
      </c>
      <c r="D15" s="23" t="n">
        <f aca="false">C15+D14</f>
        <v>6049000</v>
      </c>
      <c r="E15" s="23" t="n">
        <f aca="false">D15+E14</f>
        <v>10673500</v>
      </c>
      <c r="F15" s="23" t="n">
        <f aca="false">E15+F14</f>
        <v>16633000</v>
      </c>
      <c r="G15" s="23" t="n">
        <f aca="false">F15+G14</f>
        <v>22802500</v>
      </c>
      <c r="H15" s="23" t="n">
        <f aca="false">G15+H14</f>
        <v>29182000</v>
      </c>
      <c r="I15" s="23" t="n">
        <f aca="false">H15+I14</f>
        <v>35771500</v>
      </c>
      <c r="J15" s="23" t="n">
        <f aca="false">I15+J14</f>
        <v>42571000</v>
      </c>
      <c r="K15" s="23" t="n">
        <f aca="false">J15+K14</f>
        <v>49280500</v>
      </c>
      <c r="L15" s="23" t="n">
        <f aca="false">K15+L14</f>
        <v>56200000</v>
      </c>
      <c r="M15" s="23" t="n">
        <f aca="false">L15+M14</f>
        <v>63329500</v>
      </c>
      <c r="N15" s="23" t="n">
        <f aca="false">M15+N14</f>
        <v>70669000</v>
      </c>
    </row>
    <row r="17" customFormat="false" ht="15" hidden="false" customHeight="true" outlineLevel="0" collapsed="false">
      <c r="B17" s="32" t="s">
        <v>101</v>
      </c>
      <c r="C17" s="33" t="n">
        <f aca="false">SUM(C12:F12)</f>
        <v>16835000</v>
      </c>
      <c r="D17" s="33" t="n">
        <f aca="false">SUM(G12:J12)</f>
        <v>28140000</v>
      </c>
      <c r="E17" s="33" t="n">
        <f aca="false">SUM(K12:N12)</f>
        <v>30300000</v>
      </c>
    </row>
    <row r="18" customFormat="false" ht="15" hidden="false" customHeight="true" outlineLevel="0" collapsed="false">
      <c r="B18" s="3" t="s">
        <v>102</v>
      </c>
    </row>
    <row r="22" customFormat="false" ht="15" hidden="false" customHeight="true" outlineLevel="0" collapsed="false">
      <c r="B22" s="27" t="s">
        <v>103</v>
      </c>
      <c r="C22" s="34" t="n">
        <f aca="false">SUM(C12:F12)</f>
        <v>16835000</v>
      </c>
      <c r="D22" s="34" t="n">
        <f aca="false">SUM(G12:J12)</f>
        <v>28140000</v>
      </c>
      <c r="E22" s="34" t="n">
        <f aca="false">SUM(K12:N12)</f>
        <v>30300000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0"/>
  </cols>
  <sheetData>
    <row r="2" customFormat="false" ht="21.75" hidden="false" customHeight="true" outlineLevel="0" collapsed="false">
      <c r="B2" s="2" t="s">
        <v>104</v>
      </c>
    </row>
    <row r="3" customFormat="false" ht="15" hidden="false" customHeight="true" outlineLevel="0" collapsed="false">
      <c r="B3" s="35"/>
    </row>
    <row r="4" customFormat="false" ht="15" hidden="false" customHeight="true" outlineLevel="0" collapsed="false">
      <c r="B4" s="36" t="s">
        <v>105</v>
      </c>
    </row>
    <row r="5" customFormat="false" ht="15" hidden="false" customHeight="true" outlineLevel="0" collapsed="false">
      <c r="B5" s="37" t="s">
        <v>106</v>
      </c>
    </row>
    <row r="6" customFormat="false" ht="15" hidden="false" customHeight="true" outlineLevel="0" collapsed="false">
      <c r="B6" s="37" t="s">
        <v>107</v>
      </c>
    </row>
    <row r="7" customFormat="false" ht="15" hidden="false" customHeight="true" outlineLevel="0" collapsed="false">
      <c r="B7" s="37" t="s">
        <v>108</v>
      </c>
    </row>
    <row r="8" customFormat="false" ht="15" hidden="false" customHeight="true" outlineLevel="0" collapsed="false">
      <c r="B8" s="35"/>
    </row>
    <row r="9" customFormat="false" ht="15" hidden="false" customHeight="true" outlineLevel="0" collapsed="false">
      <c r="B9" s="36" t="s">
        <v>109</v>
      </c>
    </row>
    <row r="10" customFormat="false" ht="29.25" hidden="false" customHeight="true" outlineLevel="0" collapsed="false">
      <c r="B10" s="37" t="s">
        <v>110</v>
      </c>
    </row>
    <row r="11" customFormat="false" ht="15" hidden="false" customHeight="true" outlineLevel="0" collapsed="false">
      <c r="B11" s="37" t="s">
        <v>111</v>
      </c>
    </row>
    <row r="12" customFormat="false" ht="15" hidden="false" customHeight="true" outlineLevel="0" collapsed="false">
      <c r="B12" s="35"/>
    </row>
    <row r="13" customFormat="false" ht="15" hidden="false" customHeight="true" outlineLevel="0" collapsed="false">
      <c r="B13" s="36" t="s">
        <v>112</v>
      </c>
    </row>
    <row r="14" customFormat="false" ht="15" hidden="false" customHeight="true" outlineLevel="0" collapsed="false">
      <c r="B14" s="37" t="s">
        <v>113</v>
      </c>
    </row>
    <row r="15" customFormat="false" ht="15" hidden="false" customHeight="true" outlineLevel="0" collapsed="false">
      <c r="B15" s="37" t="s">
        <v>114</v>
      </c>
    </row>
    <row r="16" customFormat="false" ht="15" hidden="false" customHeight="true" outlineLevel="0" collapsed="false">
      <c r="B16" s="37" t="s">
        <v>115</v>
      </c>
    </row>
    <row r="17" customFormat="false" ht="15" hidden="false" customHeight="true" outlineLevel="0" collapsed="false">
      <c r="B17" s="35"/>
    </row>
    <row r="18" customFormat="false" ht="15" hidden="false" customHeight="true" outlineLevel="0" collapsed="false">
      <c r="B18" s="36" t="s">
        <v>116</v>
      </c>
    </row>
    <row r="19" customFormat="false" ht="15" hidden="false" customHeight="true" outlineLevel="0" collapsed="false">
      <c r="B19" s="37" t="s">
        <v>117</v>
      </c>
    </row>
    <row r="20" customFormat="false" ht="29.25" hidden="false" customHeight="true" outlineLevel="0" collapsed="false">
      <c r="B20" s="37" t="s">
        <v>118</v>
      </c>
    </row>
    <row r="21" customFormat="false" ht="15" hidden="false" customHeight="true" outlineLevel="0" collapsed="false">
      <c r="B21" s="37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14" min="3" style="1" width="10"/>
    <col collapsed="false" customWidth="true" hidden="false" outlineLevel="0" max="15" min="15" style="1" width="12"/>
  </cols>
  <sheetData>
    <row r="2" customFormat="false" ht="21.75" hidden="false" customHeight="true" outlineLevel="0" collapsed="false">
      <c r="B2" s="18" t="s">
        <v>120</v>
      </c>
    </row>
    <row r="3" customFormat="false" ht="15" hidden="false" customHeight="true" outlineLevel="0" collapsed="false">
      <c r="B3" s="3" t="s">
        <v>121</v>
      </c>
    </row>
    <row r="5" customFormat="false" ht="15" hidden="false" customHeight="true" outlineLevel="0" collapsed="false">
      <c r="B5" s="4" t="s">
        <v>51</v>
      </c>
      <c r="C5" s="19" t="s">
        <v>52</v>
      </c>
      <c r="D5" s="19" t="s">
        <v>53</v>
      </c>
      <c r="E5" s="19" t="s">
        <v>54</v>
      </c>
      <c r="F5" s="19" t="s">
        <v>55</v>
      </c>
      <c r="G5" s="19" t="s">
        <v>56</v>
      </c>
      <c r="H5" s="19" t="s">
        <v>57</v>
      </c>
      <c r="I5" s="19" t="s">
        <v>58</v>
      </c>
      <c r="J5" s="19" t="s">
        <v>59</v>
      </c>
      <c r="K5" s="19" t="s">
        <v>60</v>
      </c>
      <c r="L5" s="19" t="s">
        <v>61</v>
      </c>
      <c r="M5" s="19" t="s">
        <v>62</v>
      </c>
      <c r="N5" s="19" t="s">
        <v>63</v>
      </c>
      <c r="O5" s="38" t="s">
        <v>122</v>
      </c>
    </row>
    <row r="6" customFormat="false" ht="15" hidden="false" customHeight="true" outlineLevel="0" collapsed="false">
      <c r="B6" s="22" t="s">
        <v>123</v>
      </c>
      <c r="C6" s="24" t="n">
        <f aca="false">Year1_月次!C13</f>
        <v>500000</v>
      </c>
      <c r="D6" s="24" t="n">
        <f aca="false">Year1_月次!D13</f>
        <v>500000</v>
      </c>
      <c r="E6" s="24" t="n">
        <f aca="false">Year1_月次!E13</f>
        <v>500000</v>
      </c>
      <c r="F6" s="24" t="n">
        <f aca="false">Year1_月次!F13</f>
        <v>500000</v>
      </c>
      <c r="G6" s="24" t="n">
        <f aca="false">Year1_月次!G13</f>
        <v>1150000</v>
      </c>
      <c r="H6" s="24" t="n">
        <f aca="false">Year1_月次!H13</f>
        <v>1150000</v>
      </c>
      <c r="I6" s="24" t="n">
        <f aca="false">Year1_月次!I13</f>
        <v>1150000</v>
      </c>
      <c r="J6" s="24" t="n">
        <f aca="false">Year1_月次!J13</f>
        <v>1450000</v>
      </c>
      <c r="K6" s="24" t="n">
        <f aca="false">Year1_月次!K13</f>
        <v>1900000</v>
      </c>
      <c r="L6" s="24" t="n">
        <f aca="false">Year1_月次!L13</f>
        <v>2270000</v>
      </c>
      <c r="M6" s="24" t="n">
        <f aca="false">Year1_月次!M13</f>
        <v>1970000</v>
      </c>
      <c r="N6" s="24" t="n">
        <f aca="false">Year1_月次!N13</f>
        <v>2270000</v>
      </c>
      <c r="O6" s="33" t="n">
        <f aca="false">SUM(C6:N6)</f>
        <v>15310000</v>
      </c>
    </row>
    <row r="8" customFormat="false" ht="15" hidden="false" customHeight="true" outlineLevel="0" collapsed="false">
      <c r="B8" s="5" t="s">
        <v>124</v>
      </c>
      <c r="C8" s="24" t="n">
        <f aca="false">前提!$C$20</f>
        <v>70000</v>
      </c>
      <c r="D8" s="24" t="n">
        <f aca="false">前提!$C$20</f>
        <v>70000</v>
      </c>
      <c r="E8" s="24" t="n">
        <f aca="false">前提!$C$20</f>
        <v>70000</v>
      </c>
      <c r="F8" s="24" t="n">
        <f aca="false">前提!$C$20</f>
        <v>70000</v>
      </c>
      <c r="G8" s="24" t="n">
        <f aca="false">前提!$C$20</f>
        <v>70000</v>
      </c>
      <c r="H8" s="24" t="n">
        <f aca="false">前提!$C$20</f>
        <v>70000</v>
      </c>
      <c r="I8" s="24" t="n">
        <f aca="false">前提!$C$20</f>
        <v>70000</v>
      </c>
      <c r="J8" s="24" t="n">
        <f aca="false">前提!$C$20</f>
        <v>70000</v>
      </c>
      <c r="K8" s="24" t="n">
        <f aca="false">前提!$C$20</f>
        <v>70000</v>
      </c>
      <c r="L8" s="24" t="n">
        <f aca="false">前提!$C$20</f>
        <v>70000</v>
      </c>
      <c r="M8" s="24" t="n">
        <f aca="false">前提!$C$20</f>
        <v>70000</v>
      </c>
      <c r="N8" s="24" t="n">
        <f aca="false">前提!$C$20</f>
        <v>70000</v>
      </c>
      <c r="O8" s="39" t="n">
        <f aca="false">SUM(C8:N8)</f>
        <v>840000</v>
      </c>
    </row>
    <row r="9" customFormat="false" ht="15" hidden="false" customHeight="true" outlineLevel="0" collapsed="false">
      <c r="B9" s="5" t="s">
        <v>125</v>
      </c>
      <c r="C9" s="24" t="n">
        <f aca="false">前提!$C$21</f>
        <v>11000</v>
      </c>
      <c r="D9" s="24" t="n">
        <f aca="false">前提!$C$21</f>
        <v>11000</v>
      </c>
      <c r="E9" s="24" t="n">
        <f aca="false">前提!$C$21</f>
        <v>11000</v>
      </c>
      <c r="F9" s="24" t="n">
        <f aca="false">前提!$C$21</f>
        <v>11000</v>
      </c>
      <c r="G9" s="24" t="n">
        <f aca="false">前提!$C$21</f>
        <v>11000</v>
      </c>
      <c r="H9" s="24" t="n">
        <f aca="false">前提!$C$21</f>
        <v>11000</v>
      </c>
      <c r="I9" s="24" t="n">
        <f aca="false">前提!$C$21</f>
        <v>11000</v>
      </c>
      <c r="J9" s="24" t="n">
        <f aca="false">前提!$C$21</f>
        <v>11000</v>
      </c>
      <c r="K9" s="24" t="n">
        <f aca="false">前提!$C$21</f>
        <v>11000</v>
      </c>
      <c r="L9" s="24" t="n">
        <f aca="false">前提!$C$21</f>
        <v>11000</v>
      </c>
      <c r="M9" s="24" t="n">
        <f aca="false">前提!$C$21</f>
        <v>11000</v>
      </c>
      <c r="N9" s="24" t="n">
        <f aca="false">前提!$C$21</f>
        <v>11000</v>
      </c>
      <c r="O9" s="39" t="n">
        <f aca="false">SUM(C9:N9)</f>
        <v>132000</v>
      </c>
    </row>
    <row r="10" customFormat="false" ht="15" hidden="false" customHeight="true" outlineLevel="0" collapsed="false">
      <c r="B10" s="5" t="s">
        <v>126</v>
      </c>
      <c r="C10" s="24" t="n">
        <f aca="false">前提!$C$22</f>
        <v>102500</v>
      </c>
      <c r="D10" s="24" t="n">
        <f aca="false">前提!$C$22</f>
        <v>102500</v>
      </c>
      <c r="E10" s="24" t="n">
        <f aca="false">前提!$C$22</f>
        <v>102500</v>
      </c>
      <c r="F10" s="24" t="n">
        <f aca="false">前提!$C$22</f>
        <v>102500</v>
      </c>
      <c r="G10" s="24" t="n">
        <f aca="false">前提!$C$22</f>
        <v>102500</v>
      </c>
      <c r="H10" s="24" t="n">
        <f aca="false">前提!$C$22</f>
        <v>102500</v>
      </c>
      <c r="I10" s="24" t="n">
        <f aca="false">前提!$C$22</f>
        <v>102500</v>
      </c>
      <c r="J10" s="24" t="n">
        <f aca="false">前提!$C$22</f>
        <v>102500</v>
      </c>
      <c r="K10" s="24" t="n">
        <f aca="false">前提!$C$22</f>
        <v>102500</v>
      </c>
      <c r="L10" s="24" t="n">
        <f aca="false">前提!$C$22</f>
        <v>102500</v>
      </c>
      <c r="M10" s="24" t="n">
        <f aca="false">前提!$C$22</f>
        <v>102500</v>
      </c>
      <c r="N10" s="24" t="n">
        <f aca="false">前提!$C$22</f>
        <v>102500</v>
      </c>
      <c r="O10" s="39" t="n">
        <f aca="false">SUM(C10:N10)</f>
        <v>1230000</v>
      </c>
    </row>
    <row r="11" customFormat="false" ht="15" hidden="false" customHeight="true" outlineLevel="0" collapsed="false">
      <c r="B11" s="40" t="s">
        <v>127</v>
      </c>
      <c r="C11" s="23" t="n">
        <f aca="false">C8+C9+C10</f>
        <v>183500</v>
      </c>
      <c r="D11" s="23" t="n">
        <f aca="false">D8+D9+D10</f>
        <v>183500</v>
      </c>
      <c r="E11" s="23" t="n">
        <f aca="false">E8+E9+E10</f>
        <v>183500</v>
      </c>
      <c r="F11" s="23" t="n">
        <f aca="false">F8+F9+F10</f>
        <v>183500</v>
      </c>
      <c r="G11" s="23" t="n">
        <f aca="false">G8+G9+G10</f>
        <v>183500</v>
      </c>
      <c r="H11" s="23" t="n">
        <f aca="false">H8+H9+H10</f>
        <v>183500</v>
      </c>
      <c r="I11" s="23" t="n">
        <f aca="false">I8+I9+I10</f>
        <v>183500</v>
      </c>
      <c r="J11" s="23" t="n">
        <f aca="false">J8+J9+J10</f>
        <v>183500</v>
      </c>
      <c r="K11" s="23" t="n">
        <f aca="false">K8+K9+K10</f>
        <v>183500</v>
      </c>
      <c r="L11" s="23" t="n">
        <f aca="false">L8+L9+L10</f>
        <v>183500</v>
      </c>
      <c r="M11" s="23" t="n">
        <f aca="false">M8+M9+M10</f>
        <v>183500</v>
      </c>
      <c r="N11" s="23" t="n">
        <f aca="false">N8+N9+N10</f>
        <v>183500</v>
      </c>
      <c r="O11" s="39" t="n">
        <f aca="false">SUM(C11:N11)</f>
        <v>2202000</v>
      </c>
    </row>
    <row r="13" customFormat="false" ht="15" hidden="false" customHeight="true" outlineLevel="0" collapsed="false">
      <c r="B13" s="26" t="s">
        <v>128</v>
      </c>
      <c r="C13" s="23" t="n">
        <f aca="false">C6-C11</f>
        <v>316500</v>
      </c>
      <c r="D13" s="23" t="n">
        <f aca="false">D6-D11</f>
        <v>316500</v>
      </c>
      <c r="E13" s="23" t="n">
        <f aca="false">E6-E11</f>
        <v>316500</v>
      </c>
      <c r="F13" s="23" t="n">
        <f aca="false">F6-F11</f>
        <v>316500</v>
      </c>
      <c r="G13" s="23" t="n">
        <f aca="false">G6-G11</f>
        <v>966500</v>
      </c>
      <c r="H13" s="23" t="n">
        <f aca="false">H6-H11</f>
        <v>966500</v>
      </c>
      <c r="I13" s="23" t="n">
        <f aca="false">I6-I11</f>
        <v>966500</v>
      </c>
      <c r="J13" s="23" t="n">
        <f aca="false">J6-J11</f>
        <v>1266500</v>
      </c>
      <c r="K13" s="23" t="n">
        <f aca="false">K6-K11</f>
        <v>1716500</v>
      </c>
      <c r="L13" s="23" t="n">
        <f aca="false">L6-L11</f>
        <v>2086500</v>
      </c>
      <c r="M13" s="23" t="n">
        <f aca="false">M6-M11</f>
        <v>1786500</v>
      </c>
      <c r="N13" s="23" t="n">
        <f aca="false">N6-N11</f>
        <v>2086500</v>
      </c>
      <c r="O13" s="41" t="n">
        <f aca="false">SUM(C13:N13)</f>
        <v>13108000</v>
      </c>
    </row>
    <row r="15" customFormat="false" ht="15" hidden="false" customHeight="true" outlineLevel="0" collapsed="false">
      <c r="B15" s="27" t="s">
        <v>129</v>
      </c>
    </row>
    <row r="16" customFormat="false" ht="36.75" hidden="false" customHeight="true" outlineLevel="0" collapsed="false">
      <c r="B16" s="5" t="s">
        <v>130</v>
      </c>
      <c r="C16" s="42" t="s">
        <v>131</v>
      </c>
      <c r="O16" s="43" t="n">
        <f aca="false">O6*前提!$C$24*(1-前提!$C$23)</f>
        <v>765500</v>
      </c>
    </row>
    <row r="17" customFormat="false" ht="39" hidden="false" customHeight="true" outlineLevel="0" collapsed="false">
      <c r="B17" s="5" t="s">
        <v>132</v>
      </c>
      <c r="C17" s="42" t="s">
        <v>133</v>
      </c>
      <c r="O17" s="43" t="n">
        <f aca="false">MAX(前提!$C$26,O13*前提!$C$25)</f>
        <v>3277000</v>
      </c>
    </row>
    <row r="18" customFormat="false" ht="15" hidden="false" customHeight="true" outlineLevel="0" collapsed="false">
      <c r="B18" s="5" t="s">
        <v>134</v>
      </c>
      <c r="C18" s="42"/>
      <c r="O18" s="41" t="n">
        <f aca="false">O13-O17</f>
        <v>9831000</v>
      </c>
    </row>
    <row r="19" customFormat="false" ht="39" hidden="false" customHeight="true" outlineLevel="0" collapsed="false">
      <c r="B19" s="5" t="s">
        <v>135</v>
      </c>
      <c r="C19" s="42" t="s">
        <v>136</v>
      </c>
      <c r="O19" s="44" t="n">
        <f aca="false">O16+O17</f>
        <v>4042500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15" min="3" style="1" width="11"/>
  </cols>
  <sheetData>
    <row r="2" customFormat="false" ht="21.75" hidden="false" customHeight="true" outlineLevel="0" collapsed="false">
      <c r="B2" s="18" t="s">
        <v>137</v>
      </c>
    </row>
    <row r="3" customFormat="false" ht="15" hidden="false" customHeight="true" outlineLevel="0" collapsed="false">
      <c r="B3" s="3" t="s">
        <v>138</v>
      </c>
    </row>
    <row r="5" customFormat="false" ht="15" hidden="false" customHeight="true" outlineLevel="0" collapsed="false">
      <c r="B5" s="4" t="s">
        <v>51</v>
      </c>
      <c r="C5" s="19" t="s">
        <v>52</v>
      </c>
      <c r="D5" s="19" t="s">
        <v>53</v>
      </c>
      <c r="E5" s="19" t="s">
        <v>54</v>
      </c>
      <c r="F5" s="19" t="s">
        <v>55</v>
      </c>
      <c r="G5" s="19" t="s">
        <v>56</v>
      </c>
      <c r="H5" s="19" t="s">
        <v>57</v>
      </c>
      <c r="I5" s="19" t="s">
        <v>58</v>
      </c>
      <c r="J5" s="19" t="s">
        <v>59</v>
      </c>
      <c r="K5" s="19" t="s">
        <v>60</v>
      </c>
      <c r="L5" s="19" t="s">
        <v>61</v>
      </c>
      <c r="M5" s="19" t="s">
        <v>62</v>
      </c>
      <c r="N5" s="19" t="s">
        <v>63</v>
      </c>
    </row>
    <row r="6" customFormat="false" ht="15" hidden="false" customHeight="true" outlineLevel="0" collapsed="false">
      <c r="B6" s="25" t="s">
        <v>139</v>
      </c>
      <c r="C6" s="24" t="n">
        <f aca="false">PL_損益_Y1!C13</f>
        <v>316500</v>
      </c>
      <c r="D6" s="24" t="n">
        <f aca="false">PL_損益_Y1!D13</f>
        <v>316500</v>
      </c>
      <c r="E6" s="24" t="n">
        <f aca="false">PL_損益_Y1!E13</f>
        <v>316500</v>
      </c>
      <c r="F6" s="24" t="n">
        <f aca="false">PL_損益_Y1!F13</f>
        <v>316500</v>
      </c>
      <c r="G6" s="24" t="n">
        <f aca="false">PL_損益_Y1!G13</f>
        <v>966500</v>
      </c>
      <c r="H6" s="24" t="n">
        <f aca="false">PL_損益_Y1!H13</f>
        <v>966500</v>
      </c>
      <c r="I6" s="24" t="n">
        <f aca="false">PL_損益_Y1!I13</f>
        <v>966500</v>
      </c>
      <c r="J6" s="24" t="n">
        <f aca="false">PL_損益_Y1!J13</f>
        <v>1266500</v>
      </c>
      <c r="K6" s="24" t="n">
        <f aca="false">PL_損益_Y1!K13</f>
        <v>1716500</v>
      </c>
      <c r="L6" s="24" t="n">
        <f aca="false">PL_損益_Y1!L13</f>
        <v>2086500</v>
      </c>
      <c r="M6" s="24" t="n">
        <f aca="false">PL_損益_Y1!M13</f>
        <v>1786500</v>
      </c>
      <c r="N6" s="24" t="n">
        <f aca="false">PL_損益_Y1!N13</f>
        <v>2086500</v>
      </c>
    </row>
    <row r="7" customFormat="false" ht="15" hidden="false" customHeight="true" outlineLevel="0" collapsed="false">
      <c r="B7" s="40" t="s">
        <v>140</v>
      </c>
      <c r="C7" s="23" t="n">
        <f aca="false">前提!$C$6+C6</f>
        <v>2316500</v>
      </c>
      <c r="D7" s="23" t="n">
        <f aca="false">C7+D6</f>
        <v>2633000</v>
      </c>
      <c r="E7" s="23" t="n">
        <f aca="false">D7+E6</f>
        <v>2949500</v>
      </c>
      <c r="F7" s="23" t="n">
        <f aca="false">E7+F6</f>
        <v>3266000</v>
      </c>
      <c r="G7" s="23" t="n">
        <f aca="false">F7+G6</f>
        <v>4232500</v>
      </c>
      <c r="H7" s="23" t="n">
        <f aca="false">G7+H6</f>
        <v>5199000</v>
      </c>
      <c r="I7" s="23" t="n">
        <f aca="false">H7+I6</f>
        <v>6165500</v>
      </c>
      <c r="J7" s="23" t="n">
        <f aca="false">I7+J6</f>
        <v>7432000</v>
      </c>
      <c r="K7" s="23" t="n">
        <f aca="false">J7+K6</f>
        <v>9148500</v>
      </c>
      <c r="L7" s="23" t="n">
        <f aca="false">K7+L6</f>
        <v>11235000</v>
      </c>
      <c r="M7" s="23" t="n">
        <f aca="false">L7+M6</f>
        <v>13021500</v>
      </c>
      <c r="N7" s="23" t="n">
        <f aca="false">M7+N6</f>
        <v>15108000</v>
      </c>
    </row>
    <row r="9" customFormat="false" ht="15" hidden="false" customHeight="true" outlineLevel="0" collapsed="false">
      <c r="B9" s="5" t="s">
        <v>141</v>
      </c>
      <c r="C9" s="45" t="n">
        <f aca="false">PL_損益_Y1!$O$19/12*1</f>
        <v>336875</v>
      </c>
      <c r="D9" s="45" t="n">
        <f aca="false">PL_損益_Y1!$O$19/12*2</f>
        <v>673750</v>
      </c>
      <c r="E9" s="45" t="n">
        <f aca="false">PL_損益_Y1!$O$19/12*3</f>
        <v>1010625</v>
      </c>
      <c r="F9" s="45" t="n">
        <f aca="false">PL_損益_Y1!$O$19/12*4</f>
        <v>1347500</v>
      </c>
      <c r="G9" s="45" t="n">
        <f aca="false">PL_損益_Y1!$O$19/12*5</f>
        <v>1684375</v>
      </c>
      <c r="H9" s="45" t="n">
        <f aca="false">PL_損益_Y1!$O$19/12*6</f>
        <v>2021250</v>
      </c>
      <c r="I9" s="45" t="n">
        <f aca="false">PL_損益_Y1!$O$19/12*7</f>
        <v>2358125</v>
      </c>
      <c r="J9" s="45" t="n">
        <f aca="false">PL_損益_Y1!$O$19/12*8</f>
        <v>2695000</v>
      </c>
      <c r="K9" s="45" t="n">
        <f aca="false">PL_損益_Y1!$O$19/12*9</f>
        <v>3031875</v>
      </c>
      <c r="L9" s="45" t="n">
        <f aca="false">PL_損益_Y1!$O$19/12*10</f>
        <v>3368750</v>
      </c>
      <c r="M9" s="45" t="n">
        <f aca="false">PL_損益_Y1!$O$19/12*11</f>
        <v>3705625</v>
      </c>
      <c r="N9" s="45" t="n">
        <f aca="false">PL_損益_Y1!$O$19/12*12</f>
        <v>4042500</v>
      </c>
    </row>
    <row r="10" customFormat="false" ht="15" hidden="false" customHeight="true" outlineLevel="0" collapsed="false">
      <c r="B10" s="46" t="s">
        <v>142</v>
      </c>
      <c r="C10" s="47" t="n">
        <f aca="false">C7-C9</f>
        <v>1979625</v>
      </c>
      <c r="D10" s="47" t="n">
        <f aca="false">D7-D9</f>
        <v>1959250</v>
      </c>
      <c r="E10" s="47" t="n">
        <f aca="false">E7-E9</f>
        <v>1938875</v>
      </c>
      <c r="F10" s="47" t="n">
        <f aca="false">F7-F9</f>
        <v>1918500</v>
      </c>
      <c r="G10" s="47" t="n">
        <f aca="false">G7-G9</f>
        <v>2548125</v>
      </c>
      <c r="H10" s="47" t="n">
        <f aca="false">H7-H9</f>
        <v>3177750</v>
      </c>
      <c r="I10" s="47" t="n">
        <f aca="false">I7-I9</f>
        <v>3807375</v>
      </c>
      <c r="J10" s="47" t="n">
        <f aca="false">J7-J9</f>
        <v>4737000</v>
      </c>
      <c r="K10" s="47" t="n">
        <f aca="false">K7-K9</f>
        <v>6116625</v>
      </c>
      <c r="L10" s="47" t="n">
        <f aca="false">L7-L9</f>
        <v>7866250</v>
      </c>
      <c r="M10" s="47" t="n">
        <f aca="false">M7-M9</f>
        <v>9315875</v>
      </c>
      <c r="N10" s="47" t="n">
        <f aca="false">N7-N9</f>
        <v>11065500</v>
      </c>
    </row>
    <row r="12" customFormat="false" ht="15" hidden="false" customHeight="true" outlineLevel="0" collapsed="false">
      <c r="B12" s="27" t="s">
        <v>143</v>
      </c>
      <c r="C12" s="48" t="n">
        <f aca="false">N7</f>
        <v>15108000</v>
      </c>
    </row>
    <row r="13" customFormat="false" ht="15" hidden="false" customHeight="true" outlineLevel="0" collapsed="false">
      <c r="B13" s="27" t="s">
        <v>144</v>
      </c>
      <c r="C13" s="30" t="n">
        <f aca="false">N10</f>
        <v>11065500</v>
      </c>
    </row>
    <row r="14" customFormat="false" ht="15" hidden="false" customHeight="true" outlineLevel="0" collapsed="false">
      <c r="B14" s="27" t="s">
        <v>145</v>
      </c>
      <c r="C14" s="30" t="n">
        <f aca="false">MIN(C10:N10)</f>
        <v>1918500</v>
      </c>
      <c r="D14" s="3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14" min="3" style="0" width="10"/>
  </cols>
  <sheetData>
    <row r="2" customFormat="false" ht="21.75" hidden="false" customHeight="true" outlineLevel="0" collapsed="false">
      <c r="B2" s="49" t="s">
        <v>147</v>
      </c>
    </row>
    <row r="3" customFormat="false" ht="15" hidden="false" customHeight="false" outlineLevel="0" collapsed="false">
      <c r="B3" s="50" t="s">
        <v>148</v>
      </c>
    </row>
    <row r="5" customFormat="false" ht="15" hidden="false" customHeight="false" outlineLevel="0" collapsed="false">
      <c r="B5" s="12" t="s">
        <v>51</v>
      </c>
      <c r="C5" s="19" t="s">
        <v>52</v>
      </c>
      <c r="D5" s="19" t="s">
        <v>53</v>
      </c>
      <c r="E5" s="19" t="s">
        <v>54</v>
      </c>
      <c r="F5" s="19" t="s">
        <v>55</v>
      </c>
      <c r="G5" s="19" t="s">
        <v>56</v>
      </c>
      <c r="H5" s="19" t="s">
        <v>57</v>
      </c>
      <c r="I5" s="19" t="s">
        <v>58</v>
      </c>
      <c r="J5" s="19" t="s">
        <v>59</v>
      </c>
      <c r="K5" s="19" t="s">
        <v>60</v>
      </c>
      <c r="L5" s="19" t="s">
        <v>61</v>
      </c>
      <c r="M5" s="19" t="s">
        <v>62</v>
      </c>
      <c r="N5" s="19" t="s">
        <v>63</v>
      </c>
    </row>
    <row r="6" customFormat="false" ht="15" hidden="false" customHeight="false" outlineLevel="0" collapsed="false">
      <c r="B6" s="51" t="s">
        <v>149</v>
      </c>
      <c r="C6" s="52" t="n">
        <f aca="false">Year1_月次!C6+Year1_月次!C7</f>
        <v>1</v>
      </c>
      <c r="D6" s="52" t="n">
        <f aca="false">Year1_月次!D6+Year1_月次!D7</f>
        <v>1</v>
      </c>
      <c r="E6" s="52" t="n">
        <f aca="false">Year1_月次!E6+Year1_月次!E7</f>
        <v>1</v>
      </c>
      <c r="F6" s="52" t="n">
        <f aca="false">Year1_月次!F6+Year1_月次!F7</f>
        <v>1</v>
      </c>
      <c r="G6" s="52" t="n">
        <f aca="false">Year1_月次!G6+Year1_月次!G7</f>
        <v>0</v>
      </c>
      <c r="H6" s="52" t="n">
        <f aca="false">Year1_月次!H6+Year1_月次!H7</f>
        <v>0</v>
      </c>
      <c r="I6" s="52" t="n">
        <f aca="false">Year1_月次!I6+Year1_月次!I7</f>
        <v>0</v>
      </c>
      <c r="J6" s="52" t="n">
        <f aca="false">Year1_月次!J6+Year1_月次!J7</f>
        <v>1</v>
      </c>
      <c r="K6" s="52" t="n">
        <f aca="false">Year1_月次!K6+Year1_月次!K7</f>
        <v>0</v>
      </c>
      <c r="L6" s="52" t="n">
        <f aca="false">Year1_月次!L6+Year1_月次!L7</f>
        <v>1</v>
      </c>
      <c r="M6" s="52" t="n">
        <f aca="false">Year1_月次!M6+Year1_月次!M7</f>
        <v>0</v>
      </c>
      <c r="N6" s="52" t="n">
        <f aca="false">Year1_月次!N6+Year1_月次!N7</f>
        <v>1</v>
      </c>
    </row>
    <row r="7" customFormat="false" ht="15" hidden="false" customHeight="false" outlineLevel="0" collapsed="false">
      <c r="B7" s="13" t="s">
        <v>150</v>
      </c>
      <c r="C7" s="53" t="n">
        <f aca="false">C6/前提!$C$30</f>
        <v>2.85714285714286</v>
      </c>
      <c r="D7" s="53" t="n">
        <f aca="false">D6/前提!$C$30</f>
        <v>2.85714285714286</v>
      </c>
      <c r="E7" s="53" t="n">
        <f aca="false">E6/前提!$C$30</f>
        <v>2.85714285714286</v>
      </c>
      <c r="F7" s="53" t="n">
        <f aca="false">F6/前提!$C$30</f>
        <v>2.85714285714286</v>
      </c>
      <c r="G7" s="53" t="n">
        <f aca="false">G6/前提!$C$30</f>
        <v>0</v>
      </c>
      <c r="H7" s="53" t="n">
        <f aca="false">H6/前提!$C$30</f>
        <v>0</v>
      </c>
      <c r="I7" s="53" t="n">
        <f aca="false">I6/前提!$C$30</f>
        <v>0</v>
      </c>
      <c r="J7" s="53" t="n">
        <f aca="false">J6/前提!$C$30</f>
        <v>2.85714285714286</v>
      </c>
      <c r="K7" s="53" t="n">
        <f aca="false">K6/前提!$C$30</f>
        <v>0</v>
      </c>
      <c r="L7" s="53" t="n">
        <f aca="false">L6/前提!$C$30</f>
        <v>2.85714285714286</v>
      </c>
      <c r="M7" s="53" t="n">
        <f aca="false">M6/前提!$C$30</f>
        <v>0</v>
      </c>
      <c r="N7" s="53" t="n">
        <f aca="false">N6/前提!$C$30</f>
        <v>2.85714285714286</v>
      </c>
    </row>
    <row r="8" customFormat="false" ht="15" hidden="false" customHeight="false" outlineLevel="0" collapsed="false">
      <c r="B8" s="54" t="s">
        <v>151</v>
      </c>
      <c r="C8" s="55" t="n">
        <f aca="false">C7/前提!$C$29</f>
        <v>19.047619047619</v>
      </c>
      <c r="D8" s="55" t="n">
        <f aca="false">D7/前提!$C$29</f>
        <v>19.047619047619</v>
      </c>
      <c r="E8" s="55" t="n">
        <f aca="false">E7/前提!$C$29</f>
        <v>19.047619047619</v>
      </c>
      <c r="F8" s="55" t="n">
        <f aca="false">F7/前提!$C$29</f>
        <v>19.047619047619</v>
      </c>
      <c r="G8" s="55" t="n">
        <f aca="false">G7/前提!$C$29</f>
        <v>0</v>
      </c>
      <c r="H8" s="55" t="n">
        <f aca="false">H7/前提!$C$29</f>
        <v>0</v>
      </c>
      <c r="I8" s="55" t="n">
        <f aca="false">I7/前提!$C$29</f>
        <v>0</v>
      </c>
      <c r="J8" s="55" t="n">
        <f aca="false">J7/前提!$C$29</f>
        <v>19.047619047619</v>
      </c>
      <c r="K8" s="55" t="n">
        <f aca="false">K7/前提!$C$29</f>
        <v>0</v>
      </c>
      <c r="L8" s="55" t="n">
        <f aca="false">L7/前提!$C$29</f>
        <v>19.047619047619</v>
      </c>
      <c r="M8" s="55" t="n">
        <f aca="false">M7/前提!$C$29</f>
        <v>0</v>
      </c>
      <c r="N8" s="55" t="n">
        <f aca="false">N7/前提!$C$29</f>
        <v>19.047619047619</v>
      </c>
    </row>
    <row r="10" customFormat="false" ht="15" hidden="false" customHeight="false" outlineLevel="0" collapsed="false">
      <c r="B10" s="56" t="s">
        <v>152</v>
      </c>
      <c r="C10" s="55" t="n">
        <f aca="false">C8*前提!$C$32/60</f>
        <v>9.52380952380952</v>
      </c>
      <c r="D10" s="55" t="n">
        <f aca="false">D8*前提!$C$32/60</f>
        <v>9.52380952380952</v>
      </c>
      <c r="E10" s="55" t="n">
        <f aca="false">E8*前提!$C$32/60</f>
        <v>9.52380952380952</v>
      </c>
      <c r="F10" s="55" t="n">
        <f aca="false">F8*前提!$C$32/60</f>
        <v>9.52380952380952</v>
      </c>
      <c r="G10" s="55" t="n">
        <f aca="false">G8*前提!$C$32/60</f>
        <v>0</v>
      </c>
      <c r="H10" s="55" t="n">
        <f aca="false">H8*前提!$C$32/60</f>
        <v>0</v>
      </c>
      <c r="I10" s="55" t="n">
        <f aca="false">I8*前提!$C$32/60</f>
        <v>0</v>
      </c>
      <c r="J10" s="55" t="n">
        <f aca="false">J8*前提!$C$32/60</f>
        <v>9.52380952380952</v>
      </c>
      <c r="K10" s="55" t="n">
        <f aca="false">K8*前提!$C$32/60</f>
        <v>0</v>
      </c>
      <c r="L10" s="55" t="n">
        <f aca="false">L8*前提!$C$32/60</f>
        <v>9.52380952380952</v>
      </c>
      <c r="M10" s="55" t="n">
        <f aca="false">M8*前提!$C$32/60</f>
        <v>0</v>
      </c>
      <c r="N10" s="55" t="n">
        <f aca="false">N8*前提!$C$32/60</f>
        <v>9.52380952380952</v>
      </c>
    </row>
    <row r="11" customFormat="false" ht="15" hidden="false" customHeight="false" outlineLevel="0" collapsed="false">
      <c r="B11" s="13" t="s">
        <v>153</v>
      </c>
      <c r="C11" s="53" t="n">
        <f aca="false">C6*前提!$C$31</f>
        <v>0.5</v>
      </c>
      <c r="D11" s="53" t="n">
        <f aca="false">D6*前提!$C$31</f>
        <v>0.5</v>
      </c>
      <c r="E11" s="53" t="n">
        <f aca="false">E6*前提!$C$31</f>
        <v>0.5</v>
      </c>
      <c r="F11" s="53" t="n">
        <f aca="false">F6*前提!$C$31</f>
        <v>0.5</v>
      </c>
      <c r="G11" s="53" t="n">
        <f aca="false">G6*前提!$C$31</f>
        <v>0</v>
      </c>
      <c r="H11" s="53" t="n">
        <f aca="false">H6*前提!$C$31</f>
        <v>0</v>
      </c>
      <c r="I11" s="53" t="n">
        <f aca="false">I6*前提!$C$31</f>
        <v>0</v>
      </c>
      <c r="J11" s="53" t="n">
        <f aca="false">J6*前提!$C$31</f>
        <v>0.5</v>
      </c>
      <c r="K11" s="53" t="n">
        <f aca="false">K6*前提!$C$31</f>
        <v>0</v>
      </c>
      <c r="L11" s="53" t="n">
        <f aca="false">L6*前提!$C$31</f>
        <v>0.5</v>
      </c>
      <c r="M11" s="53" t="n">
        <f aca="false">M6*前提!$C$31</f>
        <v>0</v>
      </c>
      <c r="N11" s="53" t="n">
        <f aca="false">N6*前提!$C$31</f>
        <v>0.5</v>
      </c>
    </row>
    <row r="13" customFormat="false" ht="15" hidden="false" customHeight="false" outlineLevel="0" collapsed="false">
      <c r="B13" s="57" t="s">
        <v>154</v>
      </c>
      <c r="C13" s="58" t="n">
        <f aca="false">SUM(C8:N8)</f>
        <v>133.333333333333</v>
      </c>
    </row>
    <row r="14" customFormat="false" ht="15" hidden="false" customHeight="false" outlineLevel="0" collapsed="false">
      <c r="B14" s="57" t="s">
        <v>155</v>
      </c>
      <c r="C14" s="59" t="n">
        <f aca="false">AVERAGE(C10:N10)</f>
        <v>5.55555555555556</v>
      </c>
      <c r="D14" s="50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6"/>
  </cols>
  <sheetData>
    <row r="2" customFormat="false" ht="21.75" hidden="false" customHeight="true" outlineLevel="0" collapsed="false">
      <c r="B2" s="60" t="s">
        <v>157</v>
      </c>
    </row>
    <row r="3" customFormat="false" ht="15" hidden="false" customHeight="false" outlineLevel="0" collapsed="false">
      <c r="B3" s="50" t="s">
        <v>158</v>
      </c>
    </row>
    <row r="5" customFormat="false" ht="15" hidden="false" customHeight="false" outlineLevel="0" collapsed="false">
      <c r="B5" s="13" t="s">
        <v>45</v>
      </c>
      <c r="C5" s="61" t="n">
        <f aca="false">前提!$C$35</f>
        <v>2000000</v>
      </c>
      <c r="D5" s="62"/>
    </row>
    <row r="6" customFormat="false" ht="15" hidden="false" customHeight="false" outlineLevel="0" collapsed="false">
      <c r="B6" s="13" t="s">
        <v>47</v>
      </c>
      <c r="C6" s="61" t="n">
        <f aca="false">前提!$C$36</f>
        <v>500000</v>
      </c>
      <c r="D6" s="62"/>
    </row>
    <row r="7" customFormat="false" ht="15" hidden="false" customHeight="false" outlineLevel="0" collapsed="false">
      <c r="B7" s="13" t="s">
        <v>159</v>
      </c>
      <c r="C7" s="61" t="n">
        <f aca="false">前提!$C$20</f>
        <v>70000</v>
      </c>
      <c r="D7" s="63" t="s">
        <v>160</v>
      </c>
    </row>
    <row r="8" customFormat="false" ht="15" hidden="false" customHeight="false" outlineLevel="0" collapsed="false">
      <c r="B8" s="64" t="s">
        <v>161</v>
      </c>
      <c r="C8" s="65" t="n">
        <f aca="false">C6-C7</f>
        <v>430000</v>
      </c>
      <c r="D8" s="63" t="s">
        <v>162</v>
      </c>
    </row>
    <row r="9" customFormat="false" ht="15" hidden="false" customHeight="false" outlineLevel="0" collapsed="false">
      <c r="B9" s="64" t="s">
        <v>163</v>
      </c>
      <c r="C9" s="66" t="n">
        <f aca="false">IF(C8&lt;=0,999,C5/C8)</f>
        <v>4.65116279069768</v>
      </c>
      <c r="D9" s="63" t="s">
        <v>164</v>
      </c>
    </row>
    <row r="11" customFormat="false" ht="15" hidden="false" customHeight="false" outlineLevel="0" collapsed="false">
      <c r="B11" s="57" t="s">
        <v>165</v>
      </c>
    </row>
    <row r="12" customFormat="false" ht="44" hidden="false" customHeight="false" outlineLevel="0" collapsed="false">
      <c r="B12" s="67" t="s">
        <v>166</v>
      </c>
    </row>
    <row r="13" customFormat="false" ht="29.85" hidden="false" customHeight="false" outlineLevel="0" collapsed="false">
      <c r="B13" s="67" t="s">
        <v>167</v>
      </c>
    </row>
    <row r="14" customFormat="false" ht="44" hidden="false" customHeight="false" outlineLevel="0" collapsed="false">
      <c r="B14" s="67" t="s">
        <v>168</v>
      </c>
    </row>
    <row r="15" customFormat="false" ht="44" hidden="false" customHeight="false" outlineLevel="0" collapsed="false">
      <c r="B15" s="67" t="s">
        <v>169</v>
      </c>
    </row>
    <row r="16" customFormat="false" ht="44" hidden="false" customHeight="false" outlineLevel="0" collapsed="false">
      <c r="B16" s="67" t="s">
        <v>170</v>
      </c>
    </row>
    <row r="17" customFormat="false" ht="44" hidden="false" customHeight="false" outlineLevel="0" collapsed="false">
      <c r="B17" s="67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2026-06-16T15:24:48Z</dcterms:created>
  <dc:creator>openpyxl</dc:creator>
  <dc:description/>
  <dc:language>en-US</dc:language>
  <cp:lastModifiedBy/>
  <dcterms:modified xsi:type="dcterms:W3CDTF">2026-06-16T15:37:32Z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