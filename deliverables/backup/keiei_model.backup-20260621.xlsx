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前提" sheetId="1" state="visible" r:id="rId1"/>
    <sheet xmlns:r="http://schemas.openxmlformats.org/officeDocument/2006/relationships" name="Year1_月次" sheetId="2" state="visible" r:id="rId2"/>
    <sheet xmlns:r="http://schemas.openxmlformats.org/officeDocument/2006/relationships" name="3年_四半期" sheetId="3" state="visible" r:id="rId3"/>
    <sheet xmlns:r="http://schemas.openxmlformats.org/officeDocument/2006/relationships" name="読み方" sheetId="4" state="visible" r:id="rId4"/>
    <sheet xmlns:r="http://schemas.openxmlformats.org/officeDocument/2006/relationships" name="PL_損益_Y1" sheetId="5" state="visible" r:id="rId5"/>
    <sheet xmlns:r="http://schemas.openxmlformats.org/officeDocument/2006/relationships" name="CF_現金_Y1" sheetId="6" state="visible" r:id="rId6"/>
    <sheet xmlns:r="http://schemas.openxmlformats.org/officeDocument/2006/relationships" name="営業ファネル_Y1" sheetId="7" state="visible" r:id="rId7"/>
    <sheet xmlns:r="http://schemas.openxmlformats.org/officeDocument/2006/relationships" name="個人サバイバル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#,##0\円;\(#,##0&quot;円)&quot;;\-"/>
    <numFmt numFmtId="165" formatCode="0\社"/>
    <numFmt numFmtId="166" formatCode="0.0%"/>
    <numFmt numFmtId="167" formatCode="0\分"/>
    <numFmt numFmtId="168" formatCode="0;\-;\-"/>
    <numFmt numFmtId="169" formatCode="#,##0;\(#,##0\);\-"/>
    <numFmt numFmtId="170" formatCode="0.0;\-;\-"/>
    <numFmt numFmtId="171" formatCode="0.0"/>
    <numFmt numFmtId="172" formatCode="0.0\h"/>
    <numFmt numFmtId="173" formatCode="0.0&quot;ヶ月&quot;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D2A2E"/>
      <sz val="14"/>
    </font>
    <font>
      <name val="Noto Sans CJK SC"/>
      <charset val="1"/>
      <family val="2"/>
      <i val="1"/>
      <color rgb="FF54656B"/>
      <sz val="9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54656B"/>
      <sz val="9"/>
    </font>
    <font>
      <name val="Noto Sans CJK SC"/>
      <family val="2"/>
      <i val="1"/>
      <color rgb="FF54656B"/>
      <sz val="9"/>
    </font>
    <font>
      <name val="Noto Sans CJK SC"/>
      <family val="2"/>
      <b val="1"/>
      <color rgb="FFFFFFFF"/>
      <sz val="10"/>
    </font>
    <font>
      <name val="Noto Sans CJK SC"/>
      <family val="2"/>
      <color rgb="FF000000"/>
      <sz val="10"/>
    </font>
    <font>
      <name val="Arial"/>
      <charset val="1"/>
      <family val="0"/>
      <b val="1"/>
      <color rgb="FF1D2A2E"/>
      <sz val="14"/>
    </font>
    <font>
      <name val="Noto Sans CJK SC"/>
      <family val="2"/>
      <b val="1"/>
      <color rgb="FF1D2A2E"/>
      <sz val="14"/>
    </font>
    <font>
      <name val="Arial"/>
      <charset val="1"/>
      <family val="0"/>
      <b val="1"/>
      <color rgb="FFFFFFFF"/>
      <sz val="10"/>
    </font>
    <font>
      <name val="Noto Sans CJK SC"/>
      <charset val="1"/>
      <family val="2"/>
      <b val="1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C2452D"/>
      <sz val="10"/>
    </font>
    <font>
      <name val="Arial"/>
      <charset val="1"/>
      <family val="0"/>
      <color rgb="FF1D2A2E"/>
      <sz val="10"/>
    </font>
    <font>
      <name val="Noto Sans CJK SC"/>
      <charset val="1"/>
      <family val="2"/>
      <color rgb="FF1D2A2E"/>
      <sz val="10"/>
    </font>
    <font>
      <name val="Noto Sans CJK SC"/>
      <charset val="1"/>
      <family val="2"/>
      <b val="1"/>
      <color rgb="FFC2452D"/>
      <sz val="10"/>
    </font>
    <font>
      <name val="Noto Sans CJK SC"/>
      <family val="2"/>
      <b val="1"/>
      <sz val="10"/>
    </font>
    <font>
      <name val="Noto Sans CJK SC"/>
      <family val="2"/>
      <color rgb="FF1D2A2E"/>
      <sz val="10"/>
    </font>
  </fonts>
  <fills count="8">
    <fill>
      <patternFill/>
    </fill>
    <fill>
      <patternFill patternType="gray125"/>
    </fill>
    <fill>
      <patternFill patternType="solid">
        <fgColor rgb="FF27559B"/>
        <bgColor rgb="FF0066CC"/>
      </patternFill>
    </fill>
    <fill>
      <patternFill patternType="solid">
        <fgColor rgb="FFFFF6CC"/>
        <bgColor rgb="FFF2F4F3"/>
      </patternFill>
    </fill>
    <fill>
      <patternFill patternType="solid">
        <fgColor rgb="FFFFFFFF"/>
        <bgColor rgb="FFF2F4F3"/>
      </patternFill>
    </fill>
    <fill>
      <patternFill patternType="solid">
        <fgColor rgb="FFF2F4F3"/>
        <bgColor rgb="FFE6EDF7"/>
      </patternFill>
    </fill>
    <fill>
      <patternFill patternType="solid">
        <fgColor rgb="FFE6EDF7"/>
        <bgColor rgb="FFF2F4F3"/>
      </patternFill>
    </fill>
    <fill>
      <patternFill patternType="solid">
        <fgColor rgb="FFF7E3DE"/>
        <bgColor rgb="FFE6EDF7"/>
      </patternFill>
    </fill>
  </fills>
  <borders count="2">
    <border>
      <left/>
      <right/>
      <top/>
      <bottom/>
      <diagonal/>
    </border>
    <border>
      <left style="thin">
        <color rgb="FFB9C5C4"/>
      </left>
      <right style="thin">
        <color rgb="FFB9C5C4"/>
      </right>
      <top style="thin">
        <color rgb="FFB9C5C4"/>
      </top>
      <bottom style="thin">
        <color rgb="FFB9C5C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166" fontId="8" fillId="3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7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168" fontId="8" fillId="3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169" fontId="18" fillId="0" borderId="1" applyAlignment="1" pivotButton="0" quotePrefix="0" xfId="0">
      <alignment horizontal="right" vertical="center"/>
    </xf>
    <xf numFmtId="169" fontId="19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164" fontId="18" fillId="6" borderId="0" applyAlignment="1" pivotButton="0" quotePrefix="0" xfId="0">
      <alignment horizontal="general" vertical="bottom"/>
    </xf>
    <xf numFmtId="164" fontId="18" fillId="7" borderId="0" applyAlignment="1" pivotButton="0" quotePrefix="0" xfId="0">
      <alignment horizontal="general" vertical="bottom"/>
    </xf>
    <xf numFmtId="164" fontId="20" fillId="7" borderId="0" applyAlignment="1" pivotButton="0" quotePrefix="0" xfId="0">
      <alignment horizontal="general" vertical="bottom"/>
    </xf>
    <xf numFmtId="170" fontId="8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right" vertical="center"/>
    </xf>
    <xf numFmtId="164" fontId="18" fillId="6" borderId="1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164" fontId="18" fillId="7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4" fontId="18" fillId="5" borderId="1" applyAlignment="1" pivotButton="0" quotePrefix="0" xfId="0">
      <alignment horizontal="right" vertical="center"/>
    </xf>
    <xf numFmtId="164" fontId="20" fillId="7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left" vertical="center" wrapText="1"/>
    </xf>
    <xf numFmtId="169" fontId="20" fillId="0" borderId="1" applyAlignment="1" pivotButton="0" quotePrefix="0" xfId="0">
      <alignment horizontal="right" vertical="center"/>
    </xf>
    <xf numFmtId="164" fontId="18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6" borderId="1" applyAlignment="1" pivotButton="0" quotePrefix="0" xfId="0">
      <alignment horizontal="left" vertical="center" wrapText="1"/>
    </xf>
    <xf numFmtId="1" fontId="19" fillId="0" borderId="1" applyAlignment="1" pivotButton="0" quotePrefix="0" xfId="0">
      <alignment horizontal="right" vertical="center"/>
    </xf>
    <xf numFmtId="171" fontId="9" fillId="0" borderId="1" applyAlignment="1" pivotButton="0" quotePrefix="0" xfId="0">
      <alignment horizontal="right" vertical="center"/>
    </xf>
    <xf numFmtId="0" fontId="24" fillId="7" borderId="1" applyAlignment="1" pivotButton="0" quotePrefix="0" xfId="0">
      <alignment horizontal="left" vertical="center" wrapText="1"/>
    </xf>
    <xf numFmtId="171" fontId="18" fillId="0" borderId="1" applyAlignment="1" pivotButton="0" quotePrefix="0" xfId="0">
      <alignment horizontal="right" vertical="center"/>
    </xf>
    <xf numFmtId="0" fontId="24" fillId="5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general" vertical="bottom"/>
    </xf>
    <xf numFmtId="1" fontId="18" fillId="7" borderId="0" applyAlignment="1" pivotButton="0" quotePrefix="0" xfId="0">
      <alignment horizontal="general" vertical="bottom"/>
    </xf>
    <xf numFmtId="172" fontId="18" fillId="5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164" fontId="18" fillId="5" borderId="1" applyAlignment="1" pivotButton="0" quotePrefix="0" xfId="0">
      <alignment horizontal="right" vertical="center"/>
    </xf>
    <xf numFmtId="173" fontId="20" fillId="7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166" fontId="8" fillId="3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7" fontId="8" fillId="3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168" fontId="8" fillId="3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169" fontId="18" fillId="0" borderId="1" applyAlignment="1" pivotButton="0" quotePrefix="0" xfId="0">
      <alignment horizontal="right" vertical="center"/>
    </xf>
    <xf numFmtId="169" fontId="19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164" fontId="18" fillId="6" borderId="0" applyAlignment="1" pivotButton="0" quotePrefix="0" xfId="0">
      <alignment horizontal="general" vertical="bottom"/>
    </xf>
    <xf numFmtId="164" fontId="18" fillId="7" borderId="0" applyAlignment="1" pivotButton="0" quotePrefix="0" xfId="0">
      <alignment horizontal="general" vertical="bottom"/>
    </xf>
    <xf numFmtId="164" fontId="20" fillId="7" borderId="0" applyAlignment="1" pivotButton="0" quotePrefix="0" xfId="0">
      <alignment horizontal="general" vertical="bottom"/>
    </xf>
    <xf numFmtId="170" fontId="8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right" vertical="center"/>
    </xf>
    <xf numFmtId="164" fontId="18" fillId="6" borderId="1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164" fontId="18" fillId="7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4" fontId="18" fillId="5" borderId="1" applyAlignment="1" pivotButton="0" quotePrefix="0" xfId="0">
      <alignment horizontal="right" vertical="center"/>
    </xf>
    <xf numFmtId="164" fontId="20" fillId="7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left" vertical="center" wrapText="1"/>
    </xf>
    <xf numFmtId="169" fontId="20" fillId="0" borderId="1" applyAlignment="1" pivotButton="0" quotePrefix="0" xfId="0">
      <alignment horizontal="right" vertical="center"/>
    </xf>
    <xf numFmtId="164" fontId="18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6" borderId="1" applyAlignment="1" pivotButton="0" quotePrefix="0" xfId="0">
      <alignment horizontal="left" vertical="center" wrapText="1"/>
    </xf>
    <xf numFmtId="1" fontId="19" fillId="0" borderId="1" applyAlignment="1" pivotButton="0" quotePrefix="0" xfId="0">
      <alignment horizontal="right" vertical="center"/>
    </xf>
    <xf numFmtId="171" fontId="9" fillId="0" borderId="1" applyAlignment="1" pivotButton="0" quotePrefix="0" xfId="0">
      <alignment horizontal="right" vertical="center"/>
    </xf>
    <xf numFmtId="0" fontId="24" fillId="7" borderId="1" applyAlignment="1" pivotButton="0" quotePrefix="0" xfId="0">
      <alignment horizontal="left" vertical="center" wrapText="1"/>
    </xf>
    <xf numFmtId="171" fontId="18" fillId="0" borderId="1" applyAlignment="1" pivotButton="0" quotePrefix="0" xfId="0">
      <alignment horizontal="right" vertical="center"/>
    </xf>
    <xf numFmtId="0" fontId="24" fillId="5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general" vertical="bottom"/>
    </xf>
    <xf numFmtId="1" fontId="18" fillId="7" borderId="0" applyAlignment="1" pivotButton="0" quotePrefix="0" xfId="0">
      <alignment horizontal="general" vertical="bottom"/>
    </xf>
    <xf numFmtId="172" fontId="18" fillId="5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173" fontId="20" fillId="7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0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5C4"/>
      <rgbColor rgb="FF808080"/>
      <rgbColor rgb="FF9999FF"/>
      <rgbColor rgb="FF993366"/>
      <rgbColor rgb="FFFFF6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3"/>
      <rgbColor rgb="FFCCFFCC"/>
      <rgbColor rgb="FFFFFF99"/>
      <rgbColor rgb="FF99CCFF"/>
      <rgbColor rgb="FFFF99CC"/>
      <rgbColor rgb="FFCC99FF"/>
      <rgbColor rgb="FFF7E3DE"/>
      <rgbColor rgb="FF3366FF"/>
      <rgbColor rgb="FF33CCCC"/>
      <rgbColor rgb="FF99CC00"/>
      <rgbColor rgb="FFFFCC00"/>
      <rgbColor rgb="FFFF9900"/>
      <rgbColor rgb="FFFF6600"/>
      <rgbColor rgb="FF54656B"/>
      <rgbColor rgb="FF969696"/>
      <rgbColor rgb="FF003366"/>
      <rgbColor rgb="FF339966"/>
      <rgbColor rgb="FF003300"/>
      <rgbColor rgb="FF333300"/>
      <rgbColor rgb="FFC2452D"/>
      <rgbColor rgb="FF993366"/>
      <rgbColor rgb="FF27559B"/>
      <rgbColor rgb="FF1D2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34" customWidth="1" style="68" min="2" max="2"/>
    <col width="16" customWidth="1" style="68" min="3" max="3"/>
    <col width="44" customWidth="1" style="68" min="4" max="4"/>
  </cols>
  <sheetData>
    <row r="2" ht="21.75" customHeight="1" s="69">
      <c r="B2" s="70" t="inlineStr">
        <is>
          <t>伴走事業 — 経営シミュレーション</t>
        </is>
      </c>
    </row>
    <row r="3" ht="15" customHeight="1" s="69">
      <c r="B3" s="71" t="inlineStr">
        <is>
          <t>前提（青い数字を打ち替えると、全シートが自動で再計算されます）</t>
        </is>
      </c>
    </row>
    <row r="5" ht="15" customHeight="1" s="69">
      <c r="B5" s="72" t="inlineStr">
        <is>
          <t>① 滑走路とコスト</t>
        </is>
      </c>
      <c r="C5" s="72" t="n"/>
      <c r="D5" s="72" t="n"/>
    </row>
    <row r="6" ht="15" customHeight="1" s="69">
      <c r="B6" s="73" t="inlineStr">
        <is>
          <t>初期キャッシュ（滑走路）</t>
        </is>
      </c>
      <c r="C6" s="74" t="n">
        <v>2000000</v>
      </c>
      <c r="D6" s="75" t="inlineStr">
        <is>
          <t>海外資金の引き出し。月50万×4ヶ月分</t>
        </is>
      </c>
    </row>
    <row r="7" ht="15" customHeight="1" s="69">
      <c r="B7" s="73" t="inlineStr">
        <is>
          <t>会社の月次固定費（損益分岐）</t>
        </is>
      </c>
      <c r="C7" s="76">
        <f>C20+C21+C22</f>
        <v/>
      </c>
      <c r="D7" s="75" t="inlineStr">
        <is>
          <t>役員報酬+社保+販管費の自動計算。これを総売上が超えれば会社は黒字</t>
        </is>
      </c>
    </row>
    <row r="8" ht="15" customHeight="1" s="69">
      <c r="B8" s="73" t="inlineStr">
        <is>
          <t>既存受託（月・当面継続）</t>
        </is>
      </c>
      <c r="C8" s="74" t="n">
        <v>400000</v>
      </c>
      <c r="D8" s="75" t="inlineStr">
        <is>
          <t>立ち上げ期の土台。新事業が育つまでの足場</t>
        </is>
      </c>
    </row>
    <row r="10" ht="15" customHeight="1" s="69">
      <c r="B10" s="72" t="inlineStr">
        <is>
          <t>② 商品単価</t>
        </is>
      </c>
      <c r="C10" s="72" t="n"/>
      <c r="D10" s="72" t="n"/>
    </row>
    <row r="11" ht="15" customHeight="1" s="69">
      <c r="B11" s="73" t="inlineStr">
        <is>
          <t>構造診断・立ち上げ価格</t>
        </is>
      </c>
      <c r="C11" s="74" t="n">
        <v>100000</v>
      </c>
      <c r="D11" s="75" t="inlineStr">
        <is>
          <t>先着5社の実績協力価格（通常30万）</t>
        </is>
      </c>
    </row>
    <row r="12" ht="15" customHeight="1" s="69">
      <c r="B12" s="73" t="inlineStr">
        <is>
          <t>構造診断・通常価格</t>
        </is>
      </c>
      <c r="C12" s="74" t="n">
        <v>300000</v>
      </c>
      <c r="D12" s="75" t="inlineStr">
        <is>
          <t>竹（標準）。松は50万〜</t>
        </is>
      </c>
    </row>
    <row r="13" ht="15" customHeight="1" s="69">
      <c r="B13" s="73" t="inlineStr">
        <is>
          <t>濃い伴走（月額・1社）</t>
        </is>
      </c>
      <c r="C13" s="74" t="n">
        <v>750000</v>
      </c>
      <c r="D13" s="75" t="inlineStr">
        <is>
          <t>週2日相当。シナリオA</t>
        </is>
      </c>
    </row>
    <row r="14" ht="15" customHeight="1" s="69">
      <c r="B14" s="73" t="inlineStr">
        <is>
          <t>ライト契約（月額・1社）</t>
        </is>
      </c>
      <c r="C14" s="74" t="n">
        <v>70000</v>
      </c>
      <c r="D14" s="75" t="inlineStr">
        <is>
          <t>自走後の継続。相談・保守ベース</t>
        </is>
      </c>
    </row>
    <row r="16" ht="15" customHeight="1" s="69">
      <c r="B16" s="72" t="inlineStr">
        <is>
          <t>③ 上限（品質を守る方針）</t>
        </is>
      </c>
      <c r="C16" s="72" t="n"/>
      <c r="D16" s="72" t="n"/>
    </row>
    <row r="17" ht="15" customHeight="1" s="69">
      <c r="B17" s="73" t="inlineStr">
        <is>
          <t>濃い伴走の同時上限（社）</t>
        </is>
      </c>
      <c r="C17" s="77" t="n">
        <v>3</v>
      </c>
      <c r="D17" s="78" t="inlineStr">
        <is>
          <t>3社を超えると文脈維持の工数が品質を割る</t>
        </is>
      </c>
    </row>
    <row r="19" ht="15" customHeight="1" s="69">
      <c r="B19" s="72" t="inlineStr">
        <is>
          <t>④ 会計レベル前提（費用・税）</t>
        </is>
      </c>
      <c r="C19" s="72" t="n"/>
      <c r="D19" s="72" t="n"/>
    </row>
    <row r="20" ht="15" customHeight="1" s="69">
      <c r="B20" s="73" t="inlineStr">
        <is>
          <t>役員報酬（月）</t>
        </is>
      </c>
      <c r="C20" s="74" t="n">
        <v>70000</v>
      </c>
      <c r="D20" s="75" t="inlineStr">
        <is>
          <t>立ち上げ年は7万で低く固定（定期同額のため期中変更は不可→Y2で増額）。生活は貯蓄で橋渡し</t>
        </is>
      </c>
    </row>
    <row r="21" ht="15" customHeight="1" s="69">
      <c r="B21" s="73" t="inlineStr">
        <is>
          <t>会社負担 社会保険（月）</t>
        </is>
      </c>
      <c r="C21" s="74" t="n">
        <v>11000</v>
      </c>
      <c r="D21" s="75" t="inlineStr">
        <is>
          <t>役員報酬7万の最低等級 概算</t>
        </is>
      </c>
    </row>
    <row r="22" ht="15" customHeight="1" s="69">
      <c r="B22" s="73" t="inlineStr">
        <is>
          <t>販管費（月）</t>
        </is>
      </c>
      <c r="C22" s="74" t="n">
        <v>102500</v>
      </c>
      <c r="D22" s="75" t="inlineStr">
        <is>
          <t>税理士・SaaS・通信・交通・交際・学習・広告の合算</t>
        </is>
      </c>
    </row>
    <row r="23" ht="15" customHeight="1" s="69">
      <c r="B23" s="73" t="inlineStr">
        <is>
          <t>消費税 みなし仕入率（簡易課税）</t>
        </is>
      </c>
      <c r="C23" s="79" t="n">
        <v>0.5</v>
      </c>
      <c r="D23" s="75" t="inlineStr">
        <is>
          <t>サービス業=第5種50%。納税=売上消費税×(1-この率)</t>
        </is>
      </c>
    </row>
    <row r="24" ht="15" customHeight="1" s="69">
      <c r="B24" s="73" t="inlineStr">
        <is>
          <t>消費税率</t>
        </is>
      </c>
      <c r="C24" s="79" t="n">
        <v>0.1</v>
      </c>
      <c r="D24" s="78" t="n"/>
    </row>
    <row r="25" ht="15" customHeight="1" s="69">
      <c r="B25" s="73" t="inlineStr">
        <is>
          <t>法人実効税率（概算）</t>
        </is>
      </c>
      <c r="C25" s="79" t="n">
        <v>0.25</v>
      </c>
      <c r="D25" s="75" t="inlineStr">
        <is>
          <t>所得800万以下の中小法人 概算</t>
        </is>
      </c>
    </row>
    <row r="26" ht="15" customHeight="1" s="69">
      <c r="B26" s="73" t="inlineStr">
        <is>
          <t>法人住民税 均等割（年・赤字でも発生）</t>
        </is>
      </c>
      <c r="C26" s="74" t="n">
        <v>70000</v>
      </c>
      <c r="D26" s="75" t="inlineStr">
        <is>
          <t>最低限かかる固定税</t>
        </is>
      </c>
    </row>
    <row r="28" ht="15" customHeight="1" s="69">
      <c r="B28" s="80" t="inlineStr">
        <is>
          <t>⑤ 営業ファネル（登壇・自前コンテンツで新規診断を生む）</t>
        </is>
      </c>
      <c r="C28" s="80" t="n"/>
      <c r="D28" s="80" t="n"/>
    </row>
    <row r="29" ht="15" customHeight="1" s="69">
      <c r="B29" s="81" t="inlineStr">
        <is>
          <t>1登壇あたり参加者（人）</t>
        </is>
      </c>
      <c r="C29" s="79" t="n">
        <v>20</v>
      </c>
      <c r="D29" s="78" t="inlineStr">
        <is>
          <t>小規模セミナー/勉強会の集客想定。最初の1〜2回はここが一番難所（要・自前集客）</t>
        </is>
      </c>
    </row>
    <row r="30" ht="15" customHeight="1" s="69">
      <c r="B30" s="81" t="inlineStr">
        <is>
          <t>参加者→無料相談 化率</t>
        </is>
      </c>
      <c r="C30" s="79" t="n">
        <v>0.15</v>
      </c>
      <c r="D30" s="82" t="inlineStr">
        <is>
          <t>登壇を聞いた人が個別相談に来る率。温度が高い10〜20%</t>
        </is>
      </c>
    </row>
    <row r="31" ht="15" customHeight="1" s="69">
      <c r="B31" s="81" t="inlineStr">
        <is>
          <t>無料相談→診断 成約率</t>
        </is>
      </c>
      <c r="C31" s="79" t="n">
        <v>0.35</v>
      </c>
      <c r="D31" s="82" t="inlineStr">
        <is>
          <t>登壇経由は信頼が乗り30万診断に進みやすい(コールドの28%より高い)</t>
        </is>
      </c>
    </row>
    <row r="32" ht="15" customHeight="1" s="69">
      <c r="B32" s="83" t="inlineStr">
        <is>
          <t>診断→伴走 移行率</t>
        </is>
      </c>
      <c r="C32" s="84" t="n">
        <v>0.5</v>
      </c>
      <c r="D32" s="82" t="inlineStr">
        <is>
          <t>断る関門として意図的に絞る。据え置き</t>
        </is>
      </c>
    </row>
    <row r="33">
      <c r="B33" t="inlineStr">
        <is>
          <t>1登壇の所要時間（h/回・定常）</t>
        </is>
      </c>
      <c r="C33" s="133" t="n">
        <v>10</v>
      </c>
      <c r="D33" t="inlineStr">
        <is>
          <t>資料作成は流用前提。初回のみ別途+約20hの先行投資(ストック資産化＝L-3/L-4)</t>
        </is>
      </c>
    </row>
    <row r="34" ht="15" customHeight="1" s="69">
      <c r="B34" s="80" t="inlineStr">
        <is>
          <t>⑥ 個人サバイバル（会社とは別の財布）</t>
        </is>
      </c>
      <c r="C34" s="80" t="n"/>
      <c r="D34" s="80" t="n"/>
    </row>
    <row r="35" ht="15" customHeight="1" s="69">
      <c r="B35" s="81" t="inlineStr">
        <is>
          <t>個人の貯蓄（滑走路）</t>
        </is>
      </c>
      <c r="C35" s="74" t="n">
        <v>2000000</v>
      </c>
      <c r="D35" s="82" t="inlineStr">
        <is>
          <t>海外資金。会社でなく“あなた個人”の生活を支える</t>
        </is>
      </c>
    </row>
    <row r="36" ht="15" customHeight="1" s="69">
      <c r="B36" s="81" t="inlineStr">
        <is>
          <t>個人の生活費（月）</t>
        </is>
      </c>
      <c r="C36" s="74" t="n">
        <v>500000</v>
      </c>
      <c r="D36" s="82" t="inlineStr">
        <is>
          <t>家賃・生活・税社保等の個人支出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O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30" customWidth="1" style="68" min="2" max="2"/>
    <col width="11" customWidth="1" style="68" min="3" max="15"/>
  </cols>
  <sheetData>
    <row r="2" ht="21.75" customHeight="1" s="69">
      <c r="B2" s="85" t="inlineStr">
        <is>
          <t>Year 1 — 月次キャッシュ推移</t>
        </is>
      </c>
    </row>
    <row r="3" ht="15" customHeight="1" s="69">
      <c r="B3" s="71" t="inlineStr">
        <is>
          <t>新事業の「数量」だけ青で打ち替えてください（診断件数・伴走社数・ライト社数）。売上と残高は自動計算。</t>
        </is>
      </c>
    </row>
    <row r="5" ht="15" customHeight="1" s="69">
      <c r="B5" s="72" t="inlineStr">
        <is>
          <t>項目</t>
        </is>
      </c>
      <c r="C5" s="86" t="inlineStr">
        <is>
          <t>1月</t>
        </is>
      </c>
      <c r="D5" s="86" t="inlineStr">
        <is>
          <t>2月</t>
        </is>
      </c>
      <c r="E5" s="86" t="inlineStr">
        <is>
          <t>3月</t>
        </is>
      </c>
      <c r="F5" s="86" t="inlineStr">
        <is>
          <t>4月</t>
        </is>
      </c>
      <c r="G5" s="86" t="inlineStr">
        <is>
          <t>5月</t>
        </is>
      </c>
      <c r="H5" s="86" t="inlineStr">
        <is>
          <t>6月</t>
        </is>
      </c>
      <c r="I5" s="86" t="inlineStr">
        <is>
          <t>7月</t>
        </is>
      </c>
      <c r="J5" s="86" t="inlineStr">
        <is>
          <t>8月</t>
        </is>
      </c>
      <c r="K5" s="86" t="inlineStr">
        <is>
          <t>9月</t>
        </is>
      </c>
      <c r="L5" s="86" t="inlineStr">
        <is>
          <t>10月</t>
        </is>
      </c>
      <c r="M5" s="86" t="inlineStr">
        <is>
          <t>11月</t>
        </is>
      </c>
      <c r="N5" s="86" t="inlineStr">
        <is>
          <t>12月</t>
        </is>
      </c>
      <c r="O5" s="86" t="inlineStr">
        <is>
          <t>12月</t>
        </is>
      </c>
    </row>
    <row r="6" ht="15" customHeight="1" s="69">
      <c r="B6" s="87" t="inlineStr">
        <is>
          <t>診断・件数（立ち上げ価格）</t>
        </is>
      </c>
      <c r="C6" s="88" t="n">
        <v>1</v>
      </c>
      <c r="D6" s="88" t="n">
        <v>1</v>
      </c>
      <c r="E6" s="88" t="n">
        <v>1</v>
      </c>
      <c r="F6" s="88" t="n">
        <v>1</v>
      </c>
      <c r="G6" s="88" t="n">
        <v>0</v>
      </c>
      <c r="H6" s="88" t="n">
        <v>0</v>
      </c>
      <c r="I6" s="88" t="n">
        <v>0</v>
      </c>
      <c r="J6" s="88" t="n">
        <v>0</v>
      </c>
      <c r="K6" s="88" t="n">
        <v>0</v>
      </c>
      <c r="L6" s="88" t="n">
        <v>0</v>
      </c>
      <c r="M6" s="88" t="n">
        <v>0</v>
      </c>
      <c r="N6" s="88" t="n">
        <v>0</v>
      </c>
    </row>
    <row r="7" ht="15" customHeight="1" s="69">
      <c r="B7" s="87" t="inlineStr">
        <is>
          <t>診断・件数（通常価格）</t>
        </is>
      </c>
      <c r="C7" s="88" t="n">
        <v>0</v>
      </c>
      <c r="D7" s="88" t="n">
        <v>0</v>
      </c>
      <c r="E7" s="88" t="n">
        <v>0</v>
      </c>
      <c r="F7" s="88" t="n">
        <v>0</v>
      </c>
      <c r="G7" s="88" t="n">
        <v>0</v>
      </c>
      <c r="H7" s="88" t="n">
        <v>0</v>
      </c>
      <c r="I7" s="88" t="n">
        <v>0</v>
      </c>
      <c r="J7" s="88" t="n">
        <v>1</v>
      </c>
      <c r="K7" s="88" t="n">
        <v>0</v>
      </c>
      <c r="L7" s="88" t="n">
        <v>1</v>
      </c>
      <c r="M7" s="88" t="n">
        <v>0</v>
      </c>
      <c r="N7" s="88" t="n">
        <v>1</v>
      </c>
    </row>
    <row r="8" ht="15" customHeight="1" s="69">
      <c r="B8" s="87" t="inlineStr">
        <is>
          <t>濃い伴走・稼働社数</t>
        </is>
      </c>
      <c r="C8" s="88" t="n">
        <v>0</v>
      </c>
      <c r="D8" s="88" t="n">
        <v>0</v>
      </c>
      <c r="E8" s="88" t="n">
        <v>0</v>
      </c>
      <c r="F8" s="88" t="n">
        <v>0</v>
      </c>
      <c r="G8" s="88" t="n">
        <v>1</v>
      </c>
      <c r="H8" s="88" t="n">
        <v>1</v>
      </c>
      <c r="I8" s="88" t="n">
        <v>1</v>
      </c>
      <c r="J8" s="88" t="n">
        <v>1</v>
      </c>
      <c r="K8" s="88" t="n">
        <v>2</v>
      </c>
      <c r="L8" s="88" t="n">
        <v>2</v>
      </c>
      <c r="M8" s="88" t="n">
        <v>2</v>
      </c>
      <c r="N8" s="88" t="n">
        <v>2</v>
      </c>
    </row>
    <row r="9" ht="15" customHeight="1" s="69">
      <c r="B9" s="87" t="inlineStr">
        <is>
          <t>ライト契約・社数</t>
        </is>
      </c>
      <c r="C9" s="88" t="n">
        <v>0</v>
      </c>
      <c r="D9" s="88" t="n">
        <v>0</v>
      </c>
      <c r="E9" s="88" t="n">
        <v>0</v>
      </c>
      <c r="F9" s="88" t="n">
        <v>0</v>
      </c>
      <c r="G9" s="88" t="n">
        <v>0</v>
      </c>
      <c r="H9" s="88" t="n">
        <v>0</v>
      </c>
      <c r="I9" s="88" t="n">
        <v>0</v>
      </c>
      <c r="J9" s="88" t="n">
        <v>0</v>
      </c>
      <c r="K9" s="88" t="n">
        <v>0</v>
      </c>
      <c r="L9" s="88" t="n">
        <v>1</v>
      </c>
      <c r="M9" s="88" t="n">
        <v>1</v>
      </c>
      <c r="N9" s="88" t="n">
        <v>1</v>
      </c>
    </row>
    <row r="11" ht="15" customHeight="1" s="69">
      <c r="B11" s="89" t="inlineStr">
        <is>
          <t>新事業 売上</t>
        </is>
      </c>
      <c r="C11" s="90">
        <f>C6*前提!$C$11+C7*前提!$C$12+C8*前提!$C$13+C9*前提!$C$14</f>
        <v/>
      </c>
      <c r="D11" s="90">
        <f>D6*前提!$C$11+D7*前提!$C$12+D8*前提!$C$13+D9*前提!$C$14</f>
        <v/>
      </c>
      <c r="E11" s="90">
        <f>E6*前提!$C$11+E7*前提!$C$12+E8*前提!$C$13+E9*前提!$C$14</f>
        <v/>
      </c>
      <c r="F11" s="90">
        <f>F6*前提!$C$11+F7*前提!$C$12+F8*前提!$C$13+F9*前提!$C$14</f>
        <v/>
      </c>
      <c r="G11" s="90">
        <f>G6*前提!$C$11+G7*前提!$C$12+G8*前提!$C$13+G9*前提!$C$14</f>
        <v/>
      </c>
      <c r="H11" s="90">
        <f>H6*前提!$C$11+H7*前提!$C$12+H8*前提!$C$13+H9*前提!$C$14</f>
        <v/>
      </c>
      <c r="I11" s="90">
        <f>I6*前提!$C$11+I7*前提!$C$12+I8*前提!$C$13+I9*前提!$C$14</f>
        <v/>
      </c>
      <c r="J11" s="90">
        <f>J6*前提!$C$11+J7*前提!$C$12+J8*前提!$C$13+J9*前提!$C$14</f>
        <v/>
      </c>
      <c r="K11" s="90">
        <f>K6*前提!$C$11+K7*前提!$C$12+K8*前提!$C$13+K9*前提!$C$14</f>
        <v/>
      </c>
      <c r="L11" s="90">
        <f>L6*前提!$C$11+L7*前提!$C$12+L8*前提!$C$13+L9*前提!$C$14</f>
        <v/>
      </c>
      <c r="M11" s="90">
        <f>M6*前提!$C$11+M7*前提!$C$12+M8*前提!$C$13+M9*前提!$C$14</f>
        <v/>
      </c>
      <c r="N11" s="90">
        <f>N6*前提!$C$11+N7*前提!$C$12+N8*前提!$C$13+N9*前提!$C$14</f>
        <v/>
      </c>
    </row>
    <row r="12" ht="15" customHeight="1" s="69">
      <c r="B12" s="73" t="inlineStr">
        <is>
          <t>既存受託</t>
        </is>
      </c>
      <c r="C12" s="91">
        <f>前提!$C$8</f>
        <v/>
      </c>
      <c r="D12" s="91">
        <f>前提!$C$8</f>
        <v/>
      </c>
      <c r="E12" s="91">
        <f>前提!$C$8</f>
        <v/>
      </c>
      <c r="F12" s="91">
        <f>前提!$C$8</f>
        <v/>
      </c>
      <c r="G12" s="91">
        <f>前提!$C$8</f>
        <v/>
      </c>
      <c r="H12" s="91">
        <f>前提!$C$8</f>
        <v/>
      </c>
      <c r="I12" s="91">
        <f>前提!$C$8</f>
        <v/>
      </c>
      <c r="J12" s="91">
        <f>前提!$C$8</f>
        <v/>
      </c>
      <c r="K12" s="91">
        <f>前提!$C$8</f>
        <v/>
      </c>
      <c r="L12" s="91">
        <f>前提!$C$8</f>
        <v/>
      </c>
      <c r="M12" s="91">
        <f>前提!$C$8</f>
        <v/>
      </c>
      <c r="N12" s="91">
        <f>前提!$C$8</f>
        <v/>
      </c>
    </row>
    <row r="13" ht="15" customHeight="1" s="69">
      <c r="B13" s="89" t="inlineStr">
        <is>
          <t>総売上</t>
        </is>
      </c>
      <c r="C13" s="90">
        <f>C11+C12</f>
        <v/>
      </c>
      <c r="D13" s="90">
        <f>D11+D12</f>
        <v/>
      </c>
      <c r="E13" s="90">
        <f>E11+E12</f>
        <v/>
      </c>
      <c r="F13" s="90">
        <f>F11+F12</f>
        <v/>
      </c>
      <c r="G13" s="90">
        <f>G11+G12</f>
        <v/>
      </c>
      <c r="H13" s="90">
        <f>H11+H12</f>
        <v/>
      </c>
      <c r="I13" s="90">
        <f>I11+I12</f>
        <v/>
      </c>
      <c r="J13" s="90">
        <f>J11+J12</f>
        <v/>
      </c>
      <c r="K13" s="90">
        <f>K11+K12</f>
        <v/>
      </c>
      <c r="L13" s="90">
        <f>L11+L12</f>
        <v/>
      </c>
      <c r="M13" s="90">
        <f>M11+M12</f>
        <v/>
      </c>
      <c r="N13" s="90">
        <f>N11+N12</f>
        <v/>
      </c>
    </row>
    <row r="15" ht="15" customHeight="1" s="69">
      <c r="B15" s="73" t="inlineStr">
        <is>
          <t>損益分岐点</t>
        </is>
      </c>
      <c r="C15" s="91">
        <f>前提!$C$7</f>
        <v/>
      </c>
      <c r="D15" s="91">
        <f>前提!$C$7</f>
        <v/>
      </c>
      <c r="E15" s="91">
        <f>前提!$C$7</f>
        <v/>
      </c>
      <c r="F15" s="91">
        <f>前提!$C$7</f>
        <v/>
      </c>
      <c r="G15" s="91">
        <f>前提!$C$7</f>
        <v/>
      </c>
      <c r="H15" s="91">
        <f>前提!$C$7</f>
        <v/>
      </c>
      <c r="I15" s="91">
        <f>前提!$C$7</f>
        <v/>
      </c>
      <c r="J15" s="91">
        <f>前提!$C$7</f>
        <v/>
      </c>
      <c r="K15" s="91">
        <f>前提!$C$7</f>
        <v/>
      </c>
      <c r="L15" s="91">
        <f>前提!$C$7</f>
        <v/>
      </c>
      <c r="M15" s="91">
        <f>前提!$C$7</f>
        <v/>
      </c>
      <c r="N15" s="91">
        <f>前提!$C$7</f>
        <v/>
      </c>
    </row>
    <row r="16" ht="15" customHeight="1" s="69">
      <c r="B16" s="92" t="inlineStr">
        <is>
          <t>単月収支（±）</t>
        </is>
      </c>
      <c r="C16" s="90">
        <f>C13-C15</f>
        <v/>
      </c>
      <c r="D16" s="90">
        <f>D13-D15</f>
        <v/>
      </c>
      <c r="E16" s="90">
        <f>E13-E15</f>
        <v/>
      </c>
      <c r="F16" s="90">
        <f>F13-F15</f>
        <v/>
      </c>
      <c r="G16" s="90">
        <f>G13-G15</f>
        <v/>
      </c>
      <c r="H16" s="90">
        <f>H13-H15</f>
        <v/>
      </c>
      <c r="I16" s="90">
        <f>I13-I15</f>
        <v/>
      </c>
      <c r="J16" s="90">
        <f>J13-J15</f>
        <v/>
      </c>
      <c r="K16" s="90">
        <f>K13-K15</f>
        <v/>
      </c>
      <c r="L16" s="90">
        <f>L13-L15</f>
        <v/>
      </c>
      <c r="M16" s="90">
        <f>M13-M15</f>
        <v/>
      </c>
      <c r="N16" s="90">
        <f>N13-N15</f>
        <v/>
      </c>
    </row>
    <row r="17" ht="15" customHeight="1" s="69">
      <c r="B17" s="93" t="inlineStr">
        <is>
          <t>キャッシュ残高</t>
        </is>
      </c>
      <c r="C17" s="90">
        <f>前提!$C$6+C16</f>
        <v/>
      </c>
      <c r="D17" s="90">
        <f>C17+D16</f>
        <v/>
      </c>
      <c r="E17" s="90">
        <f>D17+E16</f>
        <v/>
      </c>
      <c r="F17" s="90">
        <f>E17+F16</f>
        <v/>
      </c>
      <c r="G17" s="90">
        <f>F17+G16</f>
        <v/>
      </c>
      <c r="H17" s="90">
        <f>G17+H16</f>
        <v/>
      </c>
      <c r="I17" s="90">
        <f>H17+I16</f>
        <v/>
      </c>
      <c r="J17" s="90">
        <f>I17+J16</f>
        <v/>
      </c>
      <c r="K17" s="90">
        <f>J17+K16</f>
        <v/>
      </c>
      <c r="L17" s="90">
        <f>K17+L16</f>
        <v/>
      </c>
      <c r="M17" s="90">
        <f>L17+M16</f>
        <v/>
      </c>
      <c r="N17" s="90">
        <f>M17+N16</f>
        <v/>
      </c>
    </row>
    <row r="19" ht="15" customHeight="1" s="69">
      <c r="B19" s="94" t="inlineStr">
        <is>
          <t>年間 新事業売上 合計</t>
        </is>
      </c>
      <c r="C19" s="95">
        <f>SUM(C11:N11)</f>
        <v/>
      </c>
    </row>
    <row r="20" ht="15" customHeight="1" s="69">
      <c r="B20" s="94" t="inlineStr">
        <is>
          <t>年末キャッシュ残高</t>
        </is>
      </c>
      <c r="C20" s="96">
        <f>N17</f>
        <v/>
      </c>
    </row>
    <row r="21" ht="15" customHeight="1" s="69">
      <c r="B21" s="94" t="inlineStr">
        <is>
          <t>初年度の最低残高（滑走路の底）</t>
        </is>
      </c>
      <c r="C21" s="97">
        <f>MIN(C17:N17)</f>
        <v/>
      </c>
      <c r="D21" s="71" t="inlineStr">
        <is>
          <t>← ここがマイナスにならなければ、負の連鎖で死ぬことはない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30" customWidth="1" style="68" min="2" max="2"/>
    <col width="10" customWidth="1" style="68" min="3" max="14"/>
  </cols>
  <sheetData>
    <row r="2" ht="21.75" customHeight="1" s="69">
      <c r="B2" s="85" t="inlineStr">
        <is>
          <t>3年計画 — 四半期ショートスパン</t>
        </is>
      </c>
    </row>
    <row r="3" ht="15" customHeight="1" s="69">
      <c r="B3" s="71" t="inlineStr">
        <is>
          <t>見るのは4つだけ：診断数・伴走社数・ライト社数・キャッシュ残高。指標を増やさないのが一人会社のコツ。</t>
        </is>
      </c>
    </row>
    <row r="5" ht="15" customHeight="1" s="69">
      <c r="B5" s="72" t="inlineStr">
        <is>
          <t>項目</t>
        </is>
      </c>
      <c r="C5" s="86" t="inlineStr">
        <is>
          <t>Y1Q1</t>
        </is>
      </c>
      <c r="D5" s="86" t="inlineStr">
        <is>
          <t>Y1Q2</t>
        </is>
      </c>
      <c r="E5" s="86" t="inlineStr">
        <is>
          <t>Y1Q3</t>
        </is>
      </c>
      <c r="F5" s="86" t="inlineStr">
        <is>
          <t>Y1Q4</t>
        </is>
      </c>
      <c r="G5" s="86" t="inlineStr">
        <is>
          <t>Y2Q1</t>
        </is>
      </c>
      <c r="H5" s="86" t="inlineStr">
        <is>
          <t>Y2Q2</t>
        </is>
      </c>
      <c r="I5" s="86" t="inlineStr">
        <is>
          <t>Y2Q3</t>
        </is>
      </c>
      <c r="J5" s="86" t="inlineStr">
        <is>
          <t>Y2Q4</t>
        </is>
      </c>
      <c r="K5" s="86" t="inlineStr">
        <is>
          <t>Y3Q1</t>
        </is>
      </c>
      <c r="L5" s="86" t="inlineStr">
        <is>
          <t>Y3Q2</t>
        </is>
      </c>
      <c r="M5" s="86" t="inlineStr">
        <is>
          <t>Y3Q3</t>
        </is>
      </c>
      <c r="N5" s="86" t="inlineStr">
        <is>
          <t>Y3Q4</t>
        </is>
      </c>
    </row>
    <row r="6" ht="15" customHeight="1" s="69">
      <c r="B6" s="73" t="inlineStr">
        <is>
          <t>診断・件数 / 四半期</t>
        </is>
      </c>
      <c r="C6" s="98" t="n">
        <v>3</v>
      </c>
      <c r="D6" s="98" t="n">
        <v>2</v>
      </c>
      <c r="E6" s="98" t="n">
        <v>2</v>
      </c>
      <c r="F6" s="98" t="n">
        <v>2</v>
      </c>
      <c r="G6" s="98" t="n">
        <v>2</v>
      </c>
      <c r="H6" s="98" t="n">
        <v>2</v>
      </c>
      <c r="I6" s="98" t="n">
        <v>2</v>
      </c>
      <c r="J6" s="98" t="n">
        <v>2</v>
      </c>
      <c r="K6" s="98" t="n">
        <v>1</v>
      </c>
      <c r="L6" s="98" t="n">
        <v>1</v>
      </c>
      <c r="M6" s="98" t="n">
        <v>1</v>
      </c>
      <c r="N6" s="98" t="n">
        <v>1</v>
      </c>
    </row>
    <row r="7" ht="15" customHeight="1" s="69">
      <c r="B7" s="73" t="inlineStr">
        <is>
          <t>濃い伴走・社数（平均）</t>
        </is>
      </c>
      <c r="C7" s="98" t="n">
        <v>0</v>
      </c>
      <c r="D7" s="98" t="n">
        <v>1</v>
      </c>
      <c r="E7" s="98" t="n">
        <v>1.5</v>
      </c>
      <c r="F7" s="98" t="n">
        <v>2</v>
      </c>
      <c r="G7" s="98" t="n">
        <v>2</v>
      </c>
      <c r="H7" s="98" t="n">
        <v>2</v>
      </c>
      <c r="I7" s="98" t="n">
        <v>2</v>
      </c>
      <c r="J7" s="98" t="n">
        <v>2</v>
      </c>
      <c r="K7" s="98" t="n">
        <v>2</v>
      </c>
      <c r="L7" s="98" t="n">
        <v>2</v>
      </c>
      <c r="M7" s="98" t="n">
        <v>2</v>
      </c>
      <c r="N7" s="98" t="n">
        <v>2</v>
      </c>
    </row>
    <row r="8" ht="15" customHeight="1" s="69">
      <c r="B8" s="73" t="inlineStr">
        <is>
          <t>ライト・社数</t>
        </is>
      </c>
      <c r="C8" s="88" t="n">
        <v>0</v>
      </c>
      <c r="D8" s="88" t="n">
        <v>0</v>
      </c>
      <c r="E8" s="88" t="n">
        <v>0</v>
      </c>
      <c r="F8" s="88" t="n">
        <v>1</v>
      </c>
      <c r="G8" s="88" t="n">
        <v>2</v>
      </c>
      <c r="H8" s="88" t="n">
        <v>3</v>
      </c>
      <c r="I8" s="88" t="n">
        <v>4</v>
      </c>
      <c r="J8" s="88" t="n">
        <v>5</v>
      </c>
      <c r="K8" s="88" t="n">
        <v>6</v>
      </c>
      <c r="L8" s="88" t="n">
        <v>7</v>
      </c>
      <c r="M8" s="88" t="n">
        <v>8</v>
      </c>
      <c r="N8" s="88" t="n">
        <v>9</v>
      </c>
    </row>
    <row r="10" ht="15" customHeight="1" s="69">
      <c r="B10" s="89" t="inlineStr">
        <is>
          <t>新事業 売上 / Q</t>
        </is>
      </c>
      <c r="C10" s="90">
        <f>C6*前提!$C$11+C7*前提!$C$13*3+C8*前提!$C$14*3</f>
        <v/>
      </c>
      <c r="D10" s="90">
        <f>D6*前提!$C$11+D7*前提!$C$13*3+D8*前提!$C$14*3</f>
        <v/>
      </c>
      <c r="E10" s="90">
        <f>E6*前提!$C$12+E7*前提!$C$13*3+E8*前提!$C$14*3</f>
        <v/>
      </c>
      <c r="F10" s="90">
        <f>F6*前提!$C$12+F7*前提!$C$13*3+F8*前提!$C$14*3</f>
        <v/>
      </c>
      <c r="G10" s="90">
        <f>G6*前提!$C$12+G7*前提!$C$13*3+G8*前提!$C$14*3</f>
        <v/>
      </c>
      <c r="H10" s="90">
        <f>H6*前提!$C$12+H7*前提!$C$13*3+H8*前提!$C$14*3</f>
        <v/>
      </c>
      <c r="I10" s="90">
        <f>I6*前提!$C$12+I7*前提!$C$13*3+I8*前提!$C$14*3</f>
        <v/>
      </c>
      <c r="J10" s="90">
        <f>J6*前提!$C$12+J7*前提!$C$13*3+J8*前提!$C$14*3</f>
        <v/>
      </c>
      <c r="K10" s="90">
        <f>K6*前提!$C$12+K7*前提!$C$13*3+K8*前提!$C$14*3</f>
        <v/>
      </c>
      <c r="L10" s="90">
        <f>L6*前提!$C$12+L7*前提!$C$13*3+L8*前提!$C$14*3</f>
        <v/>
      </c>
      <c r="M10" s="90">
        <f>M6*前提!$C$12+M7*前提!$C$13*3+M8*前提!$C$14*3</f>
        <v/>
      </c>
      <c r="N10" s="90">
        <f>N6*前提!$C$12+N7*前提!$C$13*3+N8*前提!$C$14*3</f>
        <v/>
      </c>
    </row>
    <row r="11" ht="15" customHeight="1" s="69">
      <c r="B11" s="73" t="inlineStr">
        <is>
          <t>既存受託 / Q</t>
        </is>
      </c>
      <c r="C11" s="91">
        <f>前提!$C$8*3</f>
        <v/>
      </c>
      <c r="D11" s="91">
        <f>前提!$C$8*3</f>
        <v/>
      </c>
      <c r="E11" s="91">
        <f>前提!$C$8*3</f>
        <v/>
      </c>
      <c r="F11" s="91">
        <f>前提!$C$8*3</f>
        <v/>
      </c>
      <c r="G11" s="91">
        <f>前提!$C$8*3</f>
        <v/>
      </c>
      <c r="H11" s="91">
        <f>前提!$C$8*3</f>
        <v/>
      </c>
      <c r="I11" s="91">
        <f>前提!$C$8*3</f>
        <v/>
      </c>
      <c r="J11" s="91">
        <f>前提!$C$8*3</f>
        <v/>
      </c>
      <c r="K11" s="91">
        <f>前提!$C$8*3</f>
        <v/>
      </c>
      <c r="L11" s="91">
        <f>前提!$C$8*3</f>
        <v/>
      </c>
      <c r="M11" s="91">
        <f>前提!$C$8*3</f>
        <v/>
      </c>
      <c r="N11" s="91">
        <f>前提!$C$8*3</f>
        <v/>
      </c>
    </row>
    <row r="12" ht="15" customHeight="1" s="69">
      <c r="B12" s="89" t="inlineStr">
        <is>
          <t>総売上 / Q</t>
        </is>
      </c>
      <c r="C12" s="90">
        <f>C10+C11</f>
        <v/>
      </c>
      <c r="D12" s="90">
        <f>D10+D11</f>
        <v/>
      </c>
      <c r="E12" s="90">
        <f>E10+E11</f>
        <v/>
      </c>
      <c r="F12" s="90">
        <f>F10+F11</f>
        <v/>
      </c>
      <c r="G12" s="90">
        <f>G10+G11</f>
        <v/>
      </c>
      <c r="H12" s="90">
        <f>H10+H11</f>
        <v/>
      </c>
      <c r="I12" s="90">
        <f>I10+I11</f>
        <v/>
      </c>
      <c r="J12" s="90">
        <f>J10+J11</f>
        <v/>
      </c>
      <c r="K12" s="90">
        <f>K10+K11</f>
        <v/>
      </c>
      <c r="L12" s="90">
        <f>L10+L11</f>
        <v/>
      </c>
      <c r="M12" s="90">
        <f>M10+M11</f>
        <v/>
      </c>
      <c r="N12" s="90">
        <f>N10+N11</f>
        <v/>
      </c>
    </row>
    <row r="13" ht="15" customHeight="1" s="69">
      <c r="B13" s="73" t="inlineStr">
        <is>
          <t>損益分岐 / Q</t>
        </is>
      </c>
      <c r="C13" s="91">
        <f>前提!$C$7*3</f>
        <v/>
      </c>
      <c r="D13" s="91">
        <f>前提!$C$7*3</f>
        <v/>
      </c>
      <c r="E13" s="91">
        <f>前提!$C$7*3</f>
        <v/>
      </c>
      <c r="F13" s="91">
        <f>前提!$C$7*3</f>
        <v/>
      </c>
      <c r="G13" s="91">
        <f>前提!$C$7*3</f>
        <v/>
      </c>
      <c r="H13" s="91">
        <f>前提!$C$7*3</f>
        <v/>
      </c>
      <c r="I13" s="91">
        <f>前提!$C$7*3</f>
        <v/>
      </c>
      <c r="J13" s="91">
        <f>前提!$C$7*3</f>
        <v/>
      </c>
      <c r="K13" s="91">
        <f>前提!$C$7*3</f>
        <v/>
      </c>
      <c r="L13" s="91">
        <f>前提!$C$7*3</f>
        <v/>
      </c>
      <c r="M13" s="91">
        <f>前提!$C$7*3</f>
        <v/>
      </c>
      <c r="N13" s="91">
        <f>前提!$C$7*3</f>
        <v/>
      </c>
    </row>
    <row r="14" ht="15" customHeight="1" s="69">
      <c r="B14" s="92" t="inlineStr">
        <is>
          <t>四半期 収支（±）</t>
        </is>
      </c>
      <c r="C14" s="90">
        <f>C12-C13</f>
        <v/>
      </c>
      <c r="D14" s="90">
        <f>D12-D13</f>
        <v/>
      </c>
      <c r="E14" s="90">
        <f>E12-E13</f>
        <v/>
      </c>
      <c r="F14" s="90">
        <f>F12-F13</f>
        <v/>
      </c>
      <c r="G14" s="90">
        <f>G12-G13</f>
        <v/>
      </c>
      <c r="H14" s="90">
        <f>H12-H13</f>
        <v/>
      </c>
      <c r="I14" s="90">
        <f>I12-I13</f>
        <v/>
      </c>
      <c r="J14" s="90">
        <f>J12-J13</f>
        <v/>
      </c>
      <c r="K14" s="90">
        <f>K12-K13</f>
        <v/>
      </c>
      <c r="L14" s="90">
        <f>L12-L13</f>
        <v/>
      </c>
      <c r="M14" s="90">
        <f>M12-M13</f>
        <v/>
      </c>
      <c r="N14" s="90">
        <f>N12-N13</f>
        <v/>
      </c>
    </row>
    <row r="15" ht="15" customHeight="1" s="69">
      <c r="B15" s="93" t="inlineStr">
        <is>
          <t>四半期末 キャッシュ残高</t>
        </is>
      </c>
      <c r="C15" s="90">
        <f>前提!$C$6+C14</f>
        <v/>
      </c>
      <c r="D15" s="90">
        <f>C15+D14</f>
        <v/>
      </c>
      <c r="E15" s="90">
        <f>D15+E14</f>
        <v/>
      </c>
      <c r="F15" s="90">
        <f>E15+F14</f>
        <v/>
      </c>
      <c r="G15" s="90">
        <f>F15+G14</f>
        <v/>
      </c>
      <c r="H15" s="90">
        <f>G15+H14</f>
        <v/>
      </c>
      <c r="I15" s="90">
        <f>H15+I14</f>
        <v/>
      </c>
      <c r="J15" s="90">
        <f>I15+J14</f>
        <v/>
      </c>
      <c r="K15" s="90">
        <f>J15+K14</f>
        <v/>
      </c>
      <c r="L15" s="90">
        <f>K15+L14</f>
        <v/>
      </c>
      <c r="M15" s="90">
        <f>L15+M14</f>
        <v/>
      </c>
      <c r="N15" s="90">
        <f>M15+N14</f>
        <v/>
      </c>
    </row>
    <row r="17" ht="15" customHeight="1" s="69">
      <c r="B17" s="99" t="inlineStr">
        <is>
          <t>年間総売上</t>
        </is>
      </c>
      <c r="C17" s="100">
        <f>SUM(C12:F12)</f>
        <v/>
      </c>
      <c r="D17" s="100">
        <f>SUM(G12:J12)</f>
        <v/>
      </c>
      <c r="E17" s="100">
        <f>SUM(K12:N12)</f>
        <v/>
      </c>
    </row>
    <row r="18" ht="15" customHeight="1" s="69">
      <c r="B18" s="71" t="inlineStr">
        <is>
          <t>（C列=Year1, D列=Year2, E列=Year3 の合計）</t>
        </is>
      </c>
    </row>
    <row r="22" ht="15" customHeight="1" s="69">
      <c r="B22" s="94" t="inlineStr">
        <is>
          <t>年間総売上（C=Y1 / D=Y2 / E=Y3）</t>
        </is>
      </c>
      <c r="C22" s="101">
        <f>SUM(C12:F12)</f>
        <v/>
      </c>
      <c r="D22" s="101">
        <f>SUM(G12:J12)</f>
        <v/>
      </c>
      <c r="E22" s="101">
        <f>SUM(K12:N12)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100" customWidth="1" style="68" min="2" max="2"/>
  </cols>
  <sheetData>
    <row r="2" ht="21.75" customHeight="1" s="69">
      <c r="B2" s="70" t="inlineStr">
        <is>
          <t>このモデルの読み方</t>
        </is>
      </c>
    </row>
    <row r="3" ht="15" customHeight="1" s="69">
      <c r="B3" s="102" t="n"/>
    </row>
    <row r="4" ht="15" customHeight="1" s="69">
      <c r="B4" s="103" t="inlineStr">
        <is>
          <t>■ 何を打ち替えればいいか</t>
        </is>
      </c>
    </row>
    <row r="5" ht="15" customHeight="1" s="69">
      <c r="B5" s="104" t="inlineStr">
        <is>
          <t xml:space="preserve">　・黄色いセル（青字）だけを変えてください。黒字は自動計算なので触らない。</t>
        </is>
      </c>
    </row>
    <row r="6" ht="15" customHeight="1" s="69">
      <c r="B6" s="104" t="inlineStr">
        <is>
          <t xml:space="preserve">　・「前提」シートで単価・分岐点・滑走路を変えると、全シートに反映されます。</t>
        </is>
      </c>
    </row>
    <row r="7" ht="15" customHeight="1" s="69">
      <c r="B7" s="104" t="inlineStr">
        <is>
          <t xml:space="preserve">　・「Year1_月次」「3年_四半期」では、各月/各Qの "数量"（診断件数・伴走社数・ライト社数）を変えます。</t>
        </is>
      </c>
    </row>
    <row r="8" ht="15" customHeight="1" s="69">
      <c r="B8" s="102" t="n"/>
    </row>
    <row r="9" ht="15" customHeight="1" s="69">
      <c r="B9" s="103" t="inlineStr">
        <is>
          <t>■ どこを見れば「死なない」と分かるか</t>
        </is>
      </c>
    </row>
    <row r="10" ht="29.25" customHeight="1" s="69">
      <c r="B10" s="104" t="inlineStr">
        <is>
          <t xml:space="preserve">　・Year1_月次シートの「初年度の最低残高（滑走路の底）」。ここがプラスなら、負の連鎖で資金が尽きることはありません。</t>
        </is>
      </c>
    </row>
    <row r="11" ht="15" customHeight="1" s="69">
      <c r="B11" s="104" t="inlineStr">
        <is>
          <t xml:space="preserve">　・現在の慎重シナリオでは、底は初月の約190万円。初期200万からほぼ減らずに立ち上がります。</t>
        </is>
      </c>
    </row>
    <row r="12" ht="15" customHeight="1" s="69">
      <c r="B12" s="102" t="n"/>
    </row>
    <row r="13" ht="15" customHeight="1" s="69">
      <c r="B13" s="103" t="inlineStr">
        <is>
          <t>■ この事業の構造的な強み（数字が示すこと）</t>
        </is>
      </c>
    </row>
    <row r="14" ht="15" customHeight="1" s="69">
      <c r="B14" s="104" t="inlineStr">
        <is>
          <t xml:space="preserve">　・損益分岐 月50万に対し、既存受託が月40万。埋めるべき差は月10万だけ。</t>
        </is>
      </c>
    </row>
    <row r="15" ht="15" customHeight="1" s="69">
      <c r="B15" s="104" t="inlineStr">
        <is>
          <t xml:space="preserve">　・診断1社（10万）でその月は分岐点に到達。伴走1社（月75万）に上がれば即黒字。ハードルは低い。</t>
        </is>
      </c>
    </row>
    <row r="16" ht="15" customHeight="1" s="69">
      <c r="B16" s="104" t="inlineStr">
        <is>
          <t xml:space="preserve">　・濃い伴走は上限3社（品質方針）。3社目以降は売上でなく、資産化・ライト層・1対Nで伸ばす設計。</t>
        </is>
      </c>
    </row>
    <row r="17" ht="15" customHeight="1" s="69">
      <c r="B17" s="102" t="n"/>
    </row>
    <row r="18" ht="15" customHeight="1" s="69">
      <c r="B18" s="103" t="inlineStr">
        <is>
          <t>■ 注意（このモデルが扱っていないリスク）</t>
        </is>
      </c>
    </row>
    <row r="19" ht="15" customHeight="1" s="69">
      <c r="B19" s="104" t="inlineStr">
        <is>
          <t xml:space="preserve">　・代替不能性：あなたが倒れると伴走が止まる。だから現金の厚みと協力者の関係維持が保険になる。</t>
        </is>
      </c>
    </row>
    <row r="20" ht="29.25" customHeight="1" s="69">
      <c r="B20" s="104" t="inlineStr">
        <is>
          <t xml:space="preserve">　・協力者（コーダー1・デザイナー1）は副業の隙間稼働。戦力でなく薄い保険として扱い、稼働を前提に商品を組まない。</t>
        </is>
      </c>
    </row>
    <row r="21" ht="15" customHeight="1" s="69">
      <c r="B21" s="104" t="inlineStr">
        <is>
          <t xml:space="preserve">　・売上の上振れより、滑走路を守る判断を優先。筋の通らない案件を承認欲で取らない（判断基準に戻る）。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O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26" customWidth="1" style="68" min="2" max="2"/>
    <col width="10" customWidth="1" style="68" min="3" max="14"/>
    <col width="12" customWidth="1" style="68" min="15" max="15"/>
  </cols>
  <sheetData>
    <row r="2" ht="21.75" customHeight="1" s="69">
      <c r="B2" s="85" t="inlineStr">
        <is>
          <t>Year1 月次 損益計算書（P/L）</t>
        </is>
      </c>
    </row>
    <row r="3" ht="15" customHeight="1" s="69">
      <c r="B3" s="71" t="inlineStr">
        <is>
          <t>売上は「Year1_月次」から自動リンク（緑字）。費用は「前提」から。消費税は預かりのため売上から除外＝税抜ベース。</t>
        </is>
      </c>
    </row>
    <row r="5" ht="15" customHeight="1" s="69">
      <c r="B5" s="72" t="inlineStr">
        <is>
          <t>項目</t>
        </is>
      </c>
      <c r="C5" s="86" t="inlineStr">
        <is>
          <t>1月</t>
        </is>
      </c>
      <c r="D5" s="86" t="inlineStr">
        <is>
          <t>2月</t>
        </is>
      </c>
      <c r="E5" s="86" t="inlineStr">
        <is>
          <t>3月</t>
        </is>
      </c>
      <c r="F5" s="86" t="inlineStr">
        <is>
          <t>4月</t>
        </is>
      </c>
      <c r="G5" s="86" t="inlineStr">
        <is>
          <t>5月</t>
        </is>
      </c>
      <c r="H5" s="86" t="inlineStr">
        <is>
          <t>6月</t>
        </is>
      </c>
      <c r="I5" s="86" t="inlineStr">
        <is>
          <t>7月</t>
        </is>
      </c>
      <c r="J5" s="86" t="inlineStr">
        <is>
          <t>8月</t>
        </is>
      </c>
      <c r="K5" s="86" t="inlineStr">
        <is>
          <t>9月</t>
        </is>
      </c>
      <c r="L5" s="86" t="inlineStr">
        <is>
          <t>10月</t>
        </is>
      </c>
      <c r="M5" s="86" t="inlineStr">
        <is>
          <t>11月</t>
        </is>
      </c>
      <c r="N5" s="86" t="inlineStr">
        <is>
          <t>12月</t>
        </is>
      </c>
      <c r="O5" s="105" t="inlineStr">
        <is>
          <t>年計</t>
        </is>
      </c>
    </row>
    <row r="6" ht="15" customHeight="1" s="69">
      <c r="B6" s="89" t="inlineStr">
        <is>
          <t>売上高（税抜）</t>
        </is>
      </c>
      <c r="C6" s="91">
        <f>Year1_月次!C13</f>
        <v/>
      </c>
      <c r="D6" s="91">
        <f>Year1_月次!D13</f>
        <v/>
      </c>
      <c r="E6" s="91">
        <f>Year1_月次!E13</f>
        <v/>
      </c>
      <c r="F6" s="91">
        <f>Year1_月次!F13</f>
        <v/>
      </c>
      <c r="G6" s="91">
        <f>Year1_月次!G13</f>
        <v/>
      </c>
      <c r="H6" s="91">
        <f>Year1_月次!H13</f>
        <v/>
      </c>
      <c r="I6" s="91">
        <f>Year1_月次!I13</f>
        <v/>
      </c>
      <c r="J6" s="91">
        <f>Year1_月次!J13</f>
        <v/>
      </c>
      <c r="K6" s="91">
        <f>Year1_月次!K13</f>
        <v/>
      </c>
      <c r="L6" s="91">
        <f>Year1_月次!L13</f>
        <v/>
      </c>
      <c r="M6" s="91">
        <f>Year1_月次!M13</f>
        <v/>
      </c>
      <c r="N6" s="91">
        <f>Year1_月次!N13</f>
        <v/>
      </c>
      <c r="O6" s="100">
        <f>SUM(C6:N6)</f>
        <v/>
      </c>
    </row>
    <row r="8" ht="15" customHeight="1" s="69">
      <c r="B8" s="73" t="inlineStr">
        <is>
          <t>役員報酬</t>
        </is>
      </c>
      <c r="C8" s="91">
        <f>前提!$C$20</f>
        <v/>
      </c>
      <c r="D8" s="91">
        <f>前提!$C$20</f>
        <v/>
      </c>
      <c r="E8" s="91">
        <f>前提!$C$20</f>
        <v/>
      </c>
      <c r="F8" s="91">
        <f>前提!$C$20</f>
        <v/>
      </c>
      <c r="G8" s="91">
        <f>前提!$C$20</f>
        <v/>
      </c>
      <c r="H8" s="91">
        <f>前提!$C$20</f>
        <v/>
      </c>
      <c r="I8" s="91">
        <f>前提!$C$20</f>
        <v/>
      </c>
      <c r="J8" s="91">
        <f>前提!$C$20</f>
        <v/>
      </c>
      <c r="K8" s="91">
        <f>前提!$C$20</f>
        <v/>
      </c>
      <c r="L8" s="91">
        <f>前提!$C$20</f>
        <v/>
      </c>
      <c r="M8" s="91">
        <f>前提!$C$20</f>
        <v/>
      </c>
      <c r="N8" s="91">
        <f>前提!$C$20</f>
        <v/>
      </c>
      <c r="O8" s="106">
        <f>SUM(C8:N8)</f>
        <v/>
      </c>
    </row>
    <row r="9" ht="15" customHeight="1" s="69">
      <c r="B9" s="73" t="inlineStr">
        <is>
          <t>法定福利費（社保・会社）</t>
        </is>
      </c>
      <c r="C9" s="91">
        <f>前提!$C$21</f>
        <v/>
      </c>
      <c r="D9" s="91">
        <f>前提!$C$21</f>
        <v/>
      </c>
      <c r="E9" s="91">
        <f>前提!$C$21</f>
        <v/>
      </c>
      <c r="F9" s="91">
        <f>前提!$C$21</f>
        <v/>
      </c>
      <c r="G9" s="91">
        <f>前提!$C$21</f>
        <v/>
      </c>
      <c r="H9" s="91">
        <f>前提!$C$21</f>
        <v/>
      </c>
      <c r="I9" s="91">
        <f>前提!$C$21</f>
        <v/>
      </c>
      <c r="J9" s="91">
        <f>前提!$C$21</f>
        <v/>
      </c>
      <c r="K9" s="91">
        <f>前提!$C$21</f>
        <v/>
      </c>
      <c r="L9" s="91">
        <f>前提!$C$21</f>
        <v/>
      </c>
      <c r="M9" s="91">
        <f>前提!$C$21</f>
        <v/>
      </c>
      <c r="N9" s="91">
        <f>前提!$C$21</f>
        <v/>
      </c>
      <c r="O9" s="106">
        <f>SUM(C9:N9)</f>
        <v/>
      </c>
    </row>
    <row r="10" ht="15" customHeight="1" s="69">
      <c r="B10" s="73" t="inlineStr">
        <is>
          <t>販管費</t>
        </is>
      </c>
      <c r="C10" s="91">
        <f>前提!$C$22</f>
        <v/>
      </c>
      <c r="D10" s="91">
        <f>前提!$C$22</f>
        <v/>
      </c>
      <c r="E10" s="91">
        <f>前提!$C$22</f>
        <v/>
      </c>
      <c r="F10" s="91">
        <f>前提!$C$22</f>
        <v/>
      </c>
      <c r="G10" s="91">
        <f>前提!$C$22</f>
        <v/>
      </c>
      <c r="H10" s="91">
        <f>前提!$C$22</f>
        <v/>
      </c>
      <c r="I10" s="91">
        <f>前提!$C$22</f>
        <v/>
      </c>
      <c r="J10" s="91">
        <f>前提!$C$22</f>
        <v/>
      </c>
      <c r="K10" s="91">
        <f>前提!$C$22</f>
        <v/>
      </c>
      <c r="L10" s="91">
        <f>前提!$C$22</f>
        <v/>
      </c>
      <c r="M10" s="91">
        <f>前提!$C$22</f>
        <v/>
      </c>
      <c r="N10" s="91">
        <f>前提!$C$22</f>
        <v/>
      </c>
      <c r="O10" s="106">
        <f>SUM(C10:N10)</f>
        <v/>
      </c>
    </row>
    <row r="11" ht="15" customHeight="1" s="69">
      <c r="B11" s="107" t="inlineStr">
        <is>
          <t>費用 合計</t>
        </is>
      </c>
      <c r="C11" s="90">
        <f>C8+C9+C10</f>
        <v/>
      </c>
      <c r="D11" s="90">
        <f>D8+D9+D10</f>
        <v/>
      </c>
      <c r="E11" s="90">
        <f>E8+E9+E10</f>
        <v/>
      </c>
      <c r="F11" s="90">
        <f>F8+F9+F10</f>
        <v/>
      </c>
      <c r="G11" s="90">
        <f>G8+G9+G10</f>
        <v/>
      </c>
      <c r="H11" s="90">
        <f>H8+H9+H10</f>
        <v/>
      </c>
      <c r="I11" s="90">
        <f>I8+I9+I10</f>
        <v/>
      </c>
      <c r="J11" s="90">
        <f>J8+J9+J10</f>
        <v/>
      </c>
      <c r="K11" s="90">
        <f>K8+K9+K10</f>
        <v/>
      </c>
      <c r="L11" s="90">
        <f>L8+L9+L10</f>
        <v/>
      </c>
      <c r="M11" s="90">
        <f>M8+M9+M10</f>
        <v/>
      </c>
      <c r="N11" s="90">
        <f>N8+N9+N10</f>
        <v/>
      </c>
      <c r="O11" s="106">
        <f>SUM(C11:N11)</f>
        <v/>
      </c>
    </row>
    <row r="13" ht="15" customHeight="1" s="69">
      <c r="B13" s="93" t="inlineStr">
        <is>
          <t>営業利益（税引前）</t>
        </is>
      </c>
      <c r="C13" s="90">
        <f>C6-C11</f>
        <v/>
      </c>
      <c r="D13" s="90">
        <f>D6-D11</f>
        <v/>
      </c>
      <c r="E13" s="90">
        <f>E6-E11</f>
        <v/>
      </c>
      <c r="F13" s="90">
        <f>F6-F11</f>
        <v/>
      </c>
      <c r="G13" s="90">
        <f>G6-G11</f>
        <v/>
      </c>
      <c r="H13" s="90">
        <f>H6-H11</f>
        <v/>
      </c>
      <c r="I13" s="90">
        <f>I6-I11</f>
        <v/>
      </c>
      <c r="J13" s="90">
        <f>J6-J11</f>
        <v/>
      </c>
      <c r="K13" s="90">
        <f>K6-K11</f>
        <v/>
      </c>
      <c r="L13" s="90">
        <f>L6-L11</f>
        <v/>
      </c>
      <c r="M13" s="90">
        <f>M6-M11</f>
        <v/>
      </c>
      <c r="N13" s="90">
        <f>N6-N11</f>
        <v/>
      </c>
      <c r="O13" s="108">
        <f>SUM(C13:N13)</f>
        <v/>
      </c>
    </row>
    <row r="15" ht="15" customHeight="1" s="69">
      <c r="B15" s="94" t="inlineStr">
        <is>
          <t>【年次の税金（翌期納付＝現金の引当が必要）】</t>
        </is>
      </c>
    </row>
    <row r="16" ht="36.75" customHeight="1" s="69">
      <c r="B16" s="73" t="inlineStr">
        <is>
          <t>消費税（簡易課税）</t>
        </is>
      </c>
      <c r="C16" s="109" t="inlineStr">
        <is>
          <t>売上消費税×(1−みなし50%)</t>
        </is>
      </c>
      <c r="O16" s="110">
        <f>O6*前提!$C$24*(1-前提!$C$23)</f>
        <v/>
      </c>
    </row>
    <row r="17" ht="39" customHeight="1" s="69">
      <c r="B17" s="73" t="inlineStr">
        <is>
          <t>法人税等</t>
        </is>
      </c>
      <c r="C17" s="109" t="inlineStr">
        <is>
          <t>利益×実効税率 と 均等割 の大きい方</t>
        </is>
      </c>
      <c r="O17" s="110">
        <f>MAX(前提!$C$26,O13*前提!$C$25)</f>
        <v/>
      </c>
    </row>
    <row r="18" ht="15" customHeight="1" s="69">
      <c r="B18" s="73" t="inlineStr">
        <is>
          <t>税引後利益</t>
        </is>
      </c>
      <c r="C18" s="109" t="n"/>
      <c r="O18" s="108">
        <f>O13-O17</f>
        <v/>
      </c>
    </row>
    <row r="19" ht="39" customHeight="1" s="69">
      <c r="B19" s="73" t="inlineStr">
        <is>
          <t>★引当てる税金合計（別口座へ）</t>
        </is>
      </c>
      <c r="C19" s="109" t="inlineStr">
        <is>
          <t>この現金は「使ってはいけない」</t>
        </is>
      </c>
      <c r="O19" s="111">
        <f>O16+O17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N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30" customWidth="1" style="68" min="2" max="2"/>
    <col width="11" customWidth="1" style="68" min="3" max="15"/>
  </cols>
  <sheetData>
    <row r="2" ht="21.75" customHeight="1" s="69">
      <c r="B2" s="85" t="inlineStr">
        <is>
          <t>Year1 月次 キャッシュフロー（税金引当込み）</t>
        </is>
      </c>
    </row>
    <row r="3" ht="15" customHeight="1" s="69">
      <c r="B3" s="71" t="inlineStr">
        <is>
          <t>「手元現金」と「税金を避けた後の“本当に使える現金”」を分けて表示。納付月の事故を防ぐ。</t>
        </is>
      </c>
    </row>
    <row r="5" ht="15" customHeight="1" s="69">
      <c r="B5" s="72" t="inlineStr">
        <is>
          <t>項目</t>
        </is>
      </c>
      <c r="C5" s="86" t="inlineStr">
        <is>
          <t>1月</t>
        </is>
      </c>
      <c r="D5" s="86" t="inlineStr">
        <is>
          <t>2月</t>
        </is>
      </c>
      <c r="E5" s="86" t="inlineStr">
        <is>
          <t>3月</t>
        </is>
      </c>
      <c r="F5" s="86" t="inlineStr">
        <is>
          <t>4月</t>
        </is>
      </c>
      <c r="G5" s="86" t="inlineStr">
        <is>
          <t>5月</t>
        </is>
      </c>
      <c r="H5" s="86" t="inlineStr">
        <is>
          <t>6月</t>
        </is>
      </c>
      <c r="I5" s="86" t="inlineStr">
        <is>
          <t>7月</t>
        </is>
      </c>
      <c r="J5" s="86" t="inlineStr">
        <is>
          <t>8月</t>
        </is>
      </c>
      <c r="K5" s="86" t="inlineStr">
        <is>
          <t>9月</t>
        </is>
      </c>
      <c r="L5" s="86" t="inlineStr">
        <is>
          <t>10月</t>
        </is>
      </c>
      <c r="M5" s="86" t="inlineStr">
        <is>
          <t>11月</t>
        </is>
      </c>
      <c r="N5" s="86" t="inlineStr">
        <is>
          <t>12月</t>
        </is>
      </c>
    </row>
    <row r="6" ht="15" customHeight="1" s="69">
      <c r="B6" s="92" t="inlineStr">
        <is>
          <t>営業利益（月次）</t>
        </is>
      </c>
      <c r="C6" s="91">
        <f>PL_損益_Y1!C13</f>
        <v/>
      </c>
      <c r="D6" s="91">
        <f>PL_損益_Y1!D13</f>
        <v/>
      </c>
      <c r="E6" s="91">
        <f>PL_損益_Y1!E13</f>
        <v/>
      </c>
      <c r="F6" s="91">
        <f>PL_損益_Y1!F13</f>
        <v/>
      </c>
      <c r="G6" s="91">
        <f>PL_損益_Y1!G13</f>
        <v/>
      </c>
      <c r="H6" s="91">
        <f>PL_損益_Y1!H13</f>
        <v/>
      </c>
      <c r="I6" s="91">
        <f>PL_損益_Y1!I13</f>
        <v/>
      </c>
      <c r="J6" s="91">
        <f>PL_損益_Y1!J13</f>
        <v/>
      </c>
      <c r="K6" s="91">
        <f>PL_損益_Y1!K13</f>
        <v/>
      </c>
      <c r="L6" s="91">
        <f>PL_損益_Y1!L13</f>
        <v/>
      </c>
      <c r="M6" s="91">
        <f>PL_損益_Y1!M13</f>
        <v/>
      </c>
      <c r="N6" s="91">
        <f>PL_損益_Y1!N13</f>
        <v/>
      </c>
    </row>
    <row r="7" ht="15" customHeight="1" s="69">
      <c r="B7" s="107" t="inlineStr">
        <is>
          <t>手元現金 残高</t>
        </is>
      </c>
      <c r="C7" s="90">
        <f>前提!$C$6+C6</f>
        <v/>
      </c>
      <c r="D7" s="90">
        <f>C7+D6</f>
        <v/>
      </c>
      <c r="E7" s="90">
        <f>D7+E6</f>
        <v/>
      </c>
      <c r="F7" s="90">
        <f>E7+F6</f>
        <v/>
      </c>
      <c r="G7" s="90">
        <f>F7+G6</f>
        <v/>
      </c>
      <c r="H7" s="90">
        <f>G7+H6</f>
        <v/>
      </c>
      <c r="I7" s="90">
        <f>H7+I6</f>
        <v/>
      </c>
      <c r="J7" s="90">
        <f>I7+J6</f>
        <v/>
      </c>
      <c r="K7" s="90">
        <f>J7+K6</f>
        <v/>
      </c>
      <c r="L7" s="90">
        <f>K7+L6</f>
        <v/>
      </c>
      <c r="M7" s="90">
        <f>L7+M6</f>
        <v/>
      </c>
      <c r="N7" s="90">
        <f>M7+N6</f>
        <v/>
      </c>
    </row>
    <row r="9" ht="15" customHeight="1" s="69">
      <c r="B9" s="73" t="inlineStr">
        <is>
          <t>累計 税金引当（避ける額）</t>
        </is>
      </c>
      <c r="C9" s="112">
        <f>PL_損益_Y1!$O$19/12*1</f>
        <v/>
      </c>
      <c r="D9" s="112">
        <f>PL_損益_Y1!$O$19/12*2</f>
        <v/>
      </c>
      <c r="E9" s="112">
        <f>PL_損益_Y1!$O$19/12*3</f>
        <v/>
      </c>
      <c r="F9" s="112">
        <f>PL_損益_Y1!$O$19/12*4</f>
        <v/>
      </c>
      <c r="G9" s="112">
        <f>PL_損益_Y1!$O$19/12*5</f>
        <v/>
      </c>
      <c r="H9" s="112">
        <f>PL_損益_Y1!$O$19/12*6</f>
        <v/>
      </c>
      <c r="I9" s="112">
        <f>PL_損益_Y1!$O$19/12*7</f>
        <v/>
      </c>
      <c r="J9" s="112">
        <f>PL_損益_Y1!$O$19/12*8</f>
        <v/>
      </c>
      <c r="K9" s="112">
        <f>PL_損益_Y1!$O$19/12*9</f>
        <v/>
      </c>
      <c r="L9" s="112">
        <f>PL_損益_Y1!$O$19/12*10</f>
        <v/>
      </c>
      <c r="M9" s="112">
        <f>PL_損益_Y1!$O$19/12*11</f>
        <v/>
      </c>
      <c r="N9" s="112">
        <f>PL_損益_Y1!$O$19/12*12</f>
        <v/>
      </c>
    </row>
    <row r="10" ht="15" customHeight="1" s="69">
      <c r="B10" s="113" t="inlineStr">
        <is>
          <t>★本当に使える現金</t>
        </is>
      </c>
      <c r="C10" s="114">
        <f>C7-C9</f>
        <v/>
      </c>
      <c r="D10" s="114">
        <f>D7-D9</f>
        <v/>
      </c>
      <c r="E10" s="114">
        <f>E7-E9</f>
        <v/>
      </c>
      <c r="F10" s="114">
        <f>F7-F9</f>
        <v/>
      </c>
      <c r="G10" s="114">
        <f>G7-G9</f>
        <v/>
      </c>
      <c r="H10" s="114">
        <f>H7-H9</f>
        <v/>
      </c>
      <c r="I10" s="114">
        <f>I7-I9</f>
        <v/>
      </c>
      <c r="J10" s="114">
        <f>J7-J9</f>
        <v/>
      </c>
      <c r="K10" s="114">
        <f>K7-K9</f>
        <v/>
      </c>
      <c r="L10" s="114">
        <f>L7-L9</f>
        <v/>
      </c>
      <c r="M10" s="114">
        <f>M7-M9</f>
        <v/>
      </c>
      <c r="N10" s="114">
        <f>N7-N9</f>
        <v/>
      </c>
    </row>
    <row r="12" ht="15" customHeight="1" s="69">
      <c r="B12" s="94" t="inlineStr">
        <is>
          <t>年末 手元現金</t>
        </is>
      </c>
      <c r="C12" s="115">
        <f>N7</f>
        <v/>
      </c>
    </row>
    <row r="13" ht="15" customHeight="1" s="69">
      <c r="B13" s="94" t="inlineStr">
        <is>
          <t>年末 本当に使える現金（税引当後）</t>
        </is>
      </c>
      <c r="C13" s="97">
        <f>N10</f>
        <v/>
      </c>
    </row>
    <row r="14" ht="15" customHeight="1" s="69">
      <c r="B14" s="94" t="inlineStr">
        <is>
          <t>本当に使える現金の最低値（底）</t>
        </is>
      </c>
      <c r="C14" s="97">
        <f>MIN(C10:N10)</f>
        <v/>
      </c>
      <c r="D14" s="71" t="inlineStr">
        <is>
          <t>← ここがプラスなら、税金を避けても資金は尽きない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30" customWidth="1" style="68" min="2" max="2"/>
    <col width="10" customWidth="1" style="68" min="3" max="14"/>
  </cols>
  <sheetData>
    <row r="2" ht="21.75" customHeight="1" s="69">
      <c r="B2" s="85" t="inlineStr">
        <is>
          <t>Year1 営業ファネル — 登壇・自前コンテンツ版（受注に必要な活動量）</t>
        </is>
      </c>
    </row>
    <row r="3" ht="15" customHeight="1" s="69">
      <c r="B3" s="116" t="inlineStr">
        <is>
          <t>「診断を何件取る」の裏で、毎月何回 登壇/発信が要るかを逆算。営業時間が週1日に収まるかを検証。</t>
        </is>
      </c>
    </row>
    <row r="5" ht="15" customHeight="1" s="69">
      <c r="B5" s="80" t="inlineStr">
        <is>
          <t>項目</t>
        </is>
      </c>
      <c r="C5" s="86" t="inlineStr">
        <is>
          <t>1月</t>
        </is>
      </c>
      <c r="D5" s="86" t="inlineStr">
        <is>
          <t>2月</t>
        </is>
      </c>
      <c r="E5" s="86" t="inlineStr">
        <is>
          <t>3月</t>
        </is>
      </c>
      <c r="F5" s="86" t="inlineStr">
        <is>
          <t>4月</t>
        </is>
      </c>
      <c r="G5" s="86" t="inlineStr">
        <is>
          <t>5月</t>
        </is>
      </c>
      <c r="H5" s="86" t="inlineStr">
        <is>
          <t>6月</t>
        </is>
      </c>
      <c r="I5" s="86" t="inlineStr">
        <is>
          <t>7月</t>
        </is>
      </c>
      <c r="J5" s="86" t="inlineStr">
        <is>
          <t>8月</t>
        </is>
      </c>
      <c r="K5" s="86" t="inlineStr">
        <is>
          <t>9月</t>
        </is>
      </c>
      <c r="L5" s="86" t="inlineStr">
        <is>
          <t>10月</t>
        </is>
      </c>
      <c r="M5" s="86" t="inlineStr">
        <is>
          <t>11月</t>
        </is>
      </c>
      <c r="N5" s="86" t="inlineStr">
        <is>
          <t>12月</t>
        </is>
      </c>
    </row>
    <row r="6" ht="15" customHeight="1" s="69">
      <c r="B6" s="117" t="inlineStr">
        <is>
          <t>新規診断 目標（件）</t>
        </is>
      </c>
      <c r="C6" s="118">
        <f>Year1_月次!C6+Year1_月次!C7</f>
        <v/>
      </c>
      <c r="D6" s="118">
        <f>Year1_月次!D6+Year1_月次!D7</f>
        <v/>
      </c>
      <c r="E6" s="118">
        <f>Year1_月次!E6+Year1_月次!E7</f>
        <v/>
      </c>
      <c r="F6" s="118">
        <f>Year1_月次!F6+Year1_月次!F7</f>
        <v/>
      </c>
      <c r="G6" s="118">
        <f>Year1_月次!G6+Year1_月次!G7</f>
        <v/>
      </c>
      <c r="H6" s="118">
        <f>Year1_月次!H6+Year1_月次!H7</f>
        <v/>
      </c>
      <c r="I6" s="118">
        <f>Year1_月次!I6+Year1_月次!I7</f>
        <v/>
      </c>
      <c r="J6" s="118">
        <f>Year1_月次!J6+Year1_月次!J7</f>
        <v/>
      </c>
      <c r="K6" s="118">
        <f>Year1_月次!K6+Year1_月次!K7</f>
        <v/>
      </c>
      <c r="L6" s="118">
        <f>Year1_月次!L6+Year1_月次!L7</f>
        <v/>
      </c>
      <c r="M6" s="118">
        <f>Year1_月次!M6+Year1_月次!M7</f>
        <v/>
      </c>
      <c r="N6" s="118">
        <f>Year1_月次!N6+Year1_月次!N7</f>
        <v/>
      </c>
    </row>
    <row r="7" ht="15" customHeight="1" s="69">
      <c r="B7" s="81" t="inlineStr">
        <is>
          <t>必要 無料相談（件）</t>
        </is>
      </c>
      <c r="C7" s="119">
        <f>C6/前提!$C$31</f>
        <v/>
      </c>
      <c r="D7" s="119">
        <f>D6/前提!$C$31</f>
        <v/>
      </c>
      <c r="E7" s="119">
        <f>E6/前提!$C$31</f>
        <v/>
      </c>
      <c r="F7" s="119">
        <f>F6/前提!$C$31</f>
        <v/>
      </c>
      <c r="G7" s="119">
        <f>G6/前提!$C$31</f>
        <v/>
      </c>
      <c r="H7" s="119">
        <f>H6/前提!$C$31</f>
        <v/>
      </c>
      <c r="I7" s="119">
        <f>I6/前提!$C$31</f>
        <v/>
      </c>
      <c r="J7" s="119">
        <f>J6/前提!$C$31</f>
        <v/>
      </c>
      <c r="K7" s="119">
        <f>K6/前提!$C$31</f>
        <v/>
      </c>
      <c r="L7" s="119">
        <f>L6/前提!$C$31</f>
        <v/>
      </c>
      <c r="M7" s="119">
        <f>M6/前提!$C$31</f>
        <v/>
      </c>
      <c r="N7" s="119">
        <f>N6/前提!$C$31</f>
        <v/>
      </c>
    </row>
    <row r="8" ht="15" customHeight="1" s="69">
      <c r="B8" s="120" t="inlineStr">
        <is>
          <t>必要 登壇回数（回）</t>
        </is>
      </c>
      <c r="C8" s="121">
        <f>C7/(前提!$C$29*前提!$C$30)</f>
        <v/>
      </c>
      <c r="D8" s="121">
        <f>D7/(前提!$C$29*前提!$C$30)</f>
        <v/>
      </c>
      <c r="E8" s="121">
        <f>E7/(前提!$C$29*前提!$C$30)</f>
        <v/>
      </c>
      <c r="F8" s="121">
        <f>F7/(前提!$C$29*前提!$C$30)</f>
        <v/>
      </c>
      <c r="G8" s="121">
        <f>G7/(前提!$C$29*前提!$C$30)</f>
        <v/>
      </c>
      <c r="H8" s="121">
        <f>H7/(前提!$C$29*前提!$C$30)</f>
        <v/>
      </c>
      <c r="I8" s="121">
        <f>I7/(前提!$C$29*前提!$C$30)</f>
        <v/>
      </c>
      <c r="J8" s="121">
        <f>J7/(前提!$C$29*前提!$C$30)</f>
        <v/>
      </c>
      <c r="K8" s="121">
        <f>K7/(前提!$C$29*前提!$C$30)</f>
        <v/>
      </c>
      <c r="L8" s="121">
        <f>L7/(前提!$C$29*前提!$C$30)</f>
        <v/>
      </c>
      <c r="M8" s="121">
        <f>M7/(前提!$C$29*前提!$C$30)</f>
        <v/>
      </c>
      <c r="N8" s="121">
        <f>N7/(前提!$C$29*前提!$C$30)</f>
        <v/>
      </c>
    </row>
    <row r="10" ht="15" customHeight="1" s="69">
      <c r="B10" s="122" t="inlineStr">
        <is>
          <t>営業 所要時間（h/月）</t>
        </is>
      </c>
      <c r="C10" s="121">
        <f>C8*前提!$C$33</f>
        <v/>
      </c>
      <c r="D10" s="121">
        <f>D8*前提!$C$33</f>
        <v/>
      </c>
      <c r="E10" s="121">
        <f>E8*前提!$C$33</f>
        <v/>
      </c>
      <c r="F10" s="121">
        <f>F8*前提!$C$33</f>
        <v/>
      </c>
      <c r="G10" s="121">
        <f>G8*前提!$C$33</f>
        <v/>
      </c>
      <c r="H10" s="121">
        <f>H8*前提!$C$33</f>
        <v/>
      </c>
      <c r="I10" s="121">
        <f>I8*前提!$C$33</f>
        <v/>
      </c>
      <c r="J10" s="121">
        <f>J8*前提!$C$33</f>
        <v/>
      </c>
      <c r="K10" s="121">
        <f>K8*前提!$C$33</f>
        <v/>
      </c>
      <c r="L10" s="121">
        <f>L8*前提!$C$33</f>
        <v/>
      </c>
      <c r="M10" s="121">
        <f>M8*前提!$C$33</f>
        <v/>
      </c>
      <c r="N10" s="121">
        <f>N8*前提!$C$33</f>
        <v/>
      </c>
    </row>
    <row r="11" ht="15" customHeight="1" s="69">
      <c r="B11" s="81" t="inlineStr">
        <is>
          <t>（参考）想定 伴走新規（社）</t>
        </is>
      </c>
      <c r="C11" s="119">
        <f>C6*前提!$C$32</f>
        <v/>
      </c>
      <c r="D11" s="119">
        <f>D6*前提!$C$32</f>
        <v/>
      </c>
      <c r="E11" s="119">
        <f>E6*前提!$C$32</f>
        <v/>
      </c>
      <c r="F11" s="119">
        <f>F6*前提!$C$32</f>
        <v/>
      </c>
      <c r="G11" s="119">
        <f>G6*前提!$C$32</f>
        <v/>
      </c>
      <c r="H11" s="119">
        <f>H6*前提!$C$32</f>
        <v/>
      </c>
      <c r="I11" s="119">
        <f>I6*前提!$C$32</f>
        <v/>
      </c>
      <c r="J11" s="119">
        <f>J6*前提!$C$32</f>
        <v/>
      </c>
      <c r="K11" s="119">
        <f>K6*前提!$C$32</f>
        <v/>
      </c>
      <c r="L11" s="119">
        <f>L6*前提!$C$32</f>
        <v/>
      </c>
      <c r="M11" s="119">
        <f>M6*前提!$C$32</f>
        <v/>
      </c>
      <c r="N11" s="119">
        <f>N6*前提!$C$32</f>
        <v/>
      </c>
    </row>
    <row r="13" ht="15" customHeight="1" s="69">
      <c r="B13" s="123" t="inlineStr">
        <is>
          <t>年間 必要アプローチ 合計</t>
        </is>
      </c>
      <c r="C13" s="124">
        <f>SUM(C8:N8)</f>
        <v/>
      </c>
    </row>
    <row r="14" ht="15" customHeight="1" s="69">
      <c r="B14" s="123" t="inlineStr">
        <is>
          <t>月平均 営業時間</t>
        </is>
      </c>
      <c r="C14" s="125">
        <f>AVERAGE(C10:N10)</f>
        <v/>
      </c>
      <c r="D14" s="116" t="inlineStr">
        <is>
          <t>← これが週の使える営業時間に収まるかを見る（目安：週1日＝月約32h）</t>
        </is>
      </c>
    </row>
    <row r="16">
      <c r="B16" t="inlineStr">
        <is>
          <t>（注）1登壇 ≒ 参加者×相談化率×成約率 の診断を生む。初回登壇は資料作成+集客で別途約20hの先行投資。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8" min="1" max="1"/>
    <col width="34" customWidth="1" style="68" min="2" max="2"/>
    <col width="16" customWidth="1" style="68" min="3" max="3"/>
    <col width="46" customWidth="1" style="68" min="4" max="4"/>
  </cols>
  <sheetData>
    <row r="2" ht="21.75" customHeight="1" s="69">
      <c r="B2" s="126" t="inlineStr">
        <is>
          <t>個人サバイバル — 会社とは別の“あなたの財布”</t>
        </is>
      </c>
    </row>
    <row r="3" ht="15" customHeight="1" s="69">
      <c r="B3" s="116" t="inlineStr">
        <is>
          <t>役員報酬7万では生活費に届かない。差額を貯蓄で何ヶ月もたせられるか。これが本当の滑走路。</t>
        </is>
      </c>
    </row>
    <row r="5" ht="15" customHeight="1" s="69">
      <c r="B5" s="81" t="inlineStr">
        <is>
          <t>個人の貯蓄（滑走路）</t>
        </is>
      </c>
      <c r="C5" s="127">
        <f>前提!$C$35</f>
        <v/>
      </c>
      <c r="D5" s="128" t="n"/>
    </row>
    <row r="6" ht="15" customHeight="1" s="69">
      <c r="B6" s="81" t="inlineStr">
        <is>
          <t>個人の生活費（月）</t>
        </is>
      </c>
      <c r="C6" s="127">
        <f>前提!$C$36</f>
        <v/>
      </c>
      <c r="D6" s="128" t="n"/>
    </row>
    <row r="7" ht="15" customHeight="1" s="69">
      <c r="B7" s="81" t="inlineStr">
        <is>
          <t>役員報酬（手取り≒額面）</t>
        </is>
      </c>
      <c r="C7" s="127">
        <f>前提!$C$20</f>
        <v/>
      </c>
      <c r="D7" s="129" t="inlineStr">
        <is>
          <t>概算。実際は所得税・社保で少し減る</t>
        </is>
      </c>
    </row>
    <row r="8" ht="15" customHeight="1" s="69">
      <c r="B8" s="130" t="inlineStr">
        <is>
          <t>月の不足額（生活費−報酬）</t>
        </is>
      </c>
      <c r="C8" s="110">
        <f>C6-C7</f>
        <v/>
      </c>
      <c r="D8" s="129" t="inlineStr">
        <is>
          <t>貯蓄から毎月出ていく額</t>
        </is>
      </c>
    </row>
    <row r="9" ht="15" customHeight="1" s="69">
      <c r="B9" s="130" t="inlineStr">
        <is>
          <t>個人サバイバル月数</t>
        </is>
      </c>
      <c r="C9" s="131">
        <f>IF(C8&lt;=0,999,C5/C8)</f>
        <v/>
      </c>
      <c r="D9" s="129" t="inlineStr">
        <is>
          <t>貯蓄が尽きるまでの月数</t>
        </is>
      </c>
    </row>
    <row r="11" ht="15" customHeight="1" s="69">
      <c r="B11" s="123" t="inlineStr">
        <is>
          <t>【意味】</t>
        </is>
      </c>
    </row>
    <row r="12" ht="44" customHeight="1" s="69">
      <c r="B12" s="132" t="inlineStr">
        <is>
          <t>・役員報酬を7万に下げると、会社の損益分岐は約18万に激減。既存受託40万だけで会社は黒字。</t>
        </is>
      </c>
    </row>
    <row r="13" ht="29.85" customHeight="1" s="69">
      <c r="B13" s="132" t="inlineStr">
        <is>
          <t>・つまり会社はすぐ黒字化し、貯蓄200万は会社の延命には使わない。</t>
        </is>
      </c>
    </row>
    <row r="14" ht="44" customHeight="1" s="69">
      <c r="B14" s="132" t="inlineStr">
        <is>
          <t>・本当の制約は「あなた個人」。生活費50万−報酬7万＝月43万を、貯蓄200万で約4.6ヶ月もたせる勝負。</t>
        </is>
      </c>
    </row>
    <row r="15" ht="44" customHeight="1" s="69">
      <c r="B15" s="132" t="inlineStr">
        <is>
          <t>・新規売上が立って会社に利益が貯まったら、Y2で役員報酬を上げて貯蓄の取り崩しを止める。</t>
        </is>
      </c>
    </row>
    <row r="16" ht="44" customHeight="1" s="69">
      <c r="B16" s="132" t="inlineStr">
        <is>
          <t>・注意：報酬を極端に下げると会社利益が増え法人税も増える。立ち上げ期の“現金温存”としては正しいが、</t>
        </is>
      </c>
    </row>
    <row r="17" ht="44" customHeight="1" s="69">
      <c r="B17" s="132" t="inlineStr">
        <is>
          <t xml:space="preserve">　軌道に乗ったら「法人税＋所得税＋社保」の合計が最小になる報酬額に最適化する。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2026-06-16T15:24:48Z</dcterms:created>
  <dcterms:modified xmlns:dcterms="http://purl.org/dc/terms/" xmlns:xsi="http://www.w3.org/2001/XMLSchema-instance" xsi:type="dcterms:W3CDTF">2026-06-19T13:29:03Z</dcterms:modified>
  <cp:revision>0</cp:revision>
</cp:coreProperties>
</file>