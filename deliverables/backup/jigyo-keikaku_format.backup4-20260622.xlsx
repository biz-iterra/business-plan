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3260" windowHeight="14860" tabRatio="600" firstSheet="0" activeTab="1" autoFilterDateGrouping="1"/>
  </bookViews>
  <sheets>
    <sheet xmlns:r="http://schemas.openxmlformats.org/officeDocument/2006/relationships" name="作成者からのコメント" sheetId="1" state="visible" r:id="rId1"/>
    <sheet xmlns:r="http://schemas.openxmlformats.org/officeDocument/2006/relationships" name="事業計画_月次_伴走事業" sheetId="2" state="visible" r:id="rId2"/>
  </sheets>
  <definedNames/>
  <calcPr calcId="191029" fullCalcOnLoad="1"/>
</workbook>
</file>

<file path=xl/styles.xml><?xml version="1.0" encoding="utf-8"?>
<styleSheet xmlns="http://schemas.openxmlformats.org/spreadsheetml/2006/main">
  <numFmts count="0"/>
  <fonts count="16">
    <font>
      <name val="Arial"/>
      <color rgb="FF000000"/>
      <sz val="10"/>
      <scheme val="minor"/>
    </font>
    <font>
      <name val="Arial"/>
      <b val="1"/>
      <color theme="1"/>
      <sz val="12"/>
    </font>
    <font>
      <name val="Arial"/>
      <color theme="1"/>
      <sz val="10"/>
      <scheme val="minor"/>
    </font>
    <font>
      <name val="Arial"/>
      <color theme="1"/>
      <sz val="12"/>
    </font>
    <font>
      <name val="Arial"/>
      <color rgb="FF0000FF"/>
      <sz val="12"/>
      <u val="single"/>
    </font>
    <font>
      <name val="Arial"/>
      <color rgb="FF0000FF"/>
      <sz val="12"/>
      <u val="single"/>
    </font>
    <font>
      <name val="Arial"/>
      <color rgb="FF0000FF"/>
      <sz val="12"/>
      <u val="single"/>
    </font>
    <font>
      <name val="Arial"/>
      <color rgb="FF0000FF"/>
      <sz val="12"/>
      <u val="single"/>
    </font>
    <font>
      <name val="Arial"/>
      <color theme="1"/>
      <sz val="10"/>
    </font>
    <font>
      <name val="Arial"/>
      <color theme="1"/>
      <sz val="18"/>
    </font>
    <font>
      <name val="Arial"/>
      <charset val="128"/>
      <family val="3"/>
      <sz val="6"/>
      <scheme val="minor"/>
    </font>
    <font>
      <b val="1"/>
      <sz val="14"/>
    </font>
    <font>
      <sz val="10"/>
    </font>
    <font>
      <i val="1"/>
      <color rgb="00555555"/>
      <sz val="9"/>
    </font>
    <font>
      <b val="1"/>
      <sz val="11"/>
    </font>
    <font>
      <b val="1"/>
    </font>
  </fonts>
  <fills count="7">
    <fill>
      <patternFill/>
    </fill>
    <fill>
      <patternFill patternType="gray125"/>
    </fill>
    <fill>
      <patternFill patternType="solid">
        <fgColor rgb="FFCFE2F3"/>
        <bgColor rgb="FFCFE2F3"/>
      </patternFill>
    </fill>
    <fill>
      <patternFill patternType="solid">
        <fgColor rgb="00D9E1F2"/>
      </patternFill>
    </fill>
    <fill>
      <patternFill patternType="solid">
        <fgColor rgb="00FFF2CC"/>
      </patternFill>
    </fill>
    <fill>
      <patternFill patternType="solid">
        <fgColor rgb="00EAF0FB"/>
      </patternFill>
    </fill>
    <fill>
      <patternFill patternType="solid">
        <fgColor rgb="00FCE4D6"/>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49">
    <xf numFmtId="0" fontId="0" fillId="0" borderId="0" pivotButton="0" quotePrefix="0" xfId="0"/>
    <xf numFmtId="0" fontId="2" fillId="0" borderId="0" applyAlignment="1" pivotButton="0" quotePrefix="0" xfId="0">
      <alignment vertical="center"/>
    </xf>
    <xf numFmtId="0" fontId="3" fillId="0" borderId="1" applyAlignment="1" pivotButton="0" quotePrefix="0" xfId="0">
      <alignment vertical="center"/>
    </xf>
    <xf numFmtId="0" fontId="3" fillId="0" borderId="2" applyAlignment="1" pivotButton="0" quotePrefix="0" xfId="0">
      <alignment vertical="center"/>
    </xf>
    <xf numFmtId="0" fontId="4" fillId="0" borderId="2" applyAlignment="1" pivotButton="0" quotePrefix="0" xfId="0">
      <alignment vertical="center"/>
    </xf>
    <xf numFmtId="0" fontId="3" fillId="0" borderId="3" applyAlignment="1" pivotButton="0" quotePrefix="0" xfId="0">
      <alignment vertical="center"/>
    </xf>
    <xf numFmtId="0" fontId="5" fillId="0" borderId="4" applyAlignment="1" pivotButton="0" quotePrefix="0" xfId="0">
      <alignment vertical="center"/>
    </xf>
    <xf numFmtId="0" fontId="6" fillId="0" borderId="4" applyAlignment="1" pivotButton="0" quotePrefix="0" xfId="0">
      <alignment vertical="center"/>
    </xf>
    <xf numFmtId="0" fontId="3" fillId="0" borderId="5" applyAlignment="1" pivotButton="0" quotePrefix="0" xfId="0">
      <alignment vertical="center"/>
    </xf>
    <xf numFmtId="0" fontId="7" fillId="0" borderId="6" applyAlignment="1" pivotButton="0" quotePrefix="0" xfId="0">
      <alignment vertical="center"/>
    </xf>
    <xf numFmtId="0" fontId="3" fillId="0" borderId="1" applyAlignment="1" pivotButton="0" quotePrefix="0" xfId="0">
      <alignment vertical="center" wrapText="1"/>
    </xf>
    <xf numFmtId="3" fontId="8" fillId="0" borderId="0" applyAlignment="1" pivotButton="0" quotePrefix="0" xfId="0">
      <alignment horizontal="left"/>
    </xf>
    <xf numFmtId="3" fontId="8" fillId="0" borderId="0" applyAlignment="1" pivotButton="0" quotePrefix="0" xfId="0">
      <alignment horizontal="center"/>
    </xf>
    <xf numFmtId="3" fontId="9" fillId="0" borderId="0" applyAlignment="1" pivotButton="0" quotePrefix="0" xfId="0">
      <alignment horizontal="center"/>
    </xf>
    <xf numFmtId="3" fontId="8" fillId="0" borderId="7" applyAlignment="1" pivotButton="0" quotePrefix="0" xfId="0">
      <alignment horizontal="center"/>
    </xf>
    <xf numFmtId="3" fontId="8" fillId="0" borderId="8" applyAlignment="1" pivotButton="0" quotePrefix="0" xfId="0">
      <alignment horizontal="center"/>
    </xf>
    <xf numFmtId="3" fontId="8" fillId="0" borderId="2" applyAlignment="1" pivotButton="0" quotePrefix="0" xfId="0">
      <alignment horizontal="center"/>
    </xf>
    <xf numFmtId="3" fontId="8" fillId="0" borderId="1" applyAlignment="1" pivotButton="0" quotePrefix="0" xfId="0">
      <alignment horizontal="center"/>
    </xf>
    <xf numFmtId="3" fontId="8" fillId="0" borderId="9" pivotButton="0" quotePrefix="0" xfId="0"/>
    <xf numFmtId="3" fontId="8" fillId="0" borderId="0" pivotButton="0" quotePrefix="0" xfId="0"/>
    <xf numFmtId="3" fontId="8" fillId="0" borderId="3" pivotButton="0" quotePrefix="0" xfId="0"/>
    <xf numFmtId="3" fontId="8" fillId="2" borderId="7" pivotButton="0" quotePrefix="0" xfId="0"/>
    <xf numFmtId="3" fontId="8" fillId="2" borderId="8" pivotButton="0" quotePrefix="0" xfId="0"/>
    <xf numFmtId="3" fontId="8" fillId="2" borderId="1" pivotButton="0" quotePrefix="0" xfId="0"/>
    <xf numFmtId="3" fontId="8" fillId="0" borderId="7" pivotButton="0" quotePrefix="0" xfId="0"/>
    <xf numFmtId="3" fontId="8" fillId="0" borderId="8" pivotButton="0" quotePrefix="0" xfId="0"/>
    <xf numFmtId="3" fontId="8" fillId="0" borderId="1" pivotButton="0" quotePrefix="0" xfId="0"/>
    <xf numFmtId="3" fontId="8" fillId="2" borderId="10" pivotButton="0" quotePrefix="0" xfId="0"/>
    <xf numFmtId="3" fontId="8" fillId="2" borderId="11" pivotButton="0" quotePrefix="0" xfId="0"/>
    <xf numFmtId="3" fontId="8" fillId="2" borderId="5" pivotButton="0" quotePrefix="0" xfId="0"/>
    <xf numFmtId="3" fontId="9" fillId="0" borderId="0" applyAlignment="1" pivotButton="0" quotePrefix="0" xfId="0">
      <alignment horizontal="center"/>
    </xf>
    <xf numFmtId="0" fontId="0" fillId="0" borderId="0" pivotButton="0" quotePrefix="0" xfId="0"/>
    <xf numFmtId="0" fontId="1" fillId="0" borderId="0" applyAlignment="1" pivotButton="0" quotePrefix="0" xfId="0">
      <alignment vertical="center"/>
    </xf>
    <xf numFmtId="0" fontId="11" fillId="0" borderId="0" pivotButton="0" quotePrefix="0" xfId="0"/>
    <xf numFmtId="0" fontId="12" fillId="0" borderId="0" pivotButton="0" quotePrefix="0" xfId="0"/>
    <xf numFmtId="0" fontId="13" fillId="0" borderId="0" pivotButton="0" quotePrefix="0" xfId="0"/>
    <xf numFmtId="0" fontId="14" fillId="3" borderId="12" pivotButton="0" quotePrefix="0" xfId="0"/>
    <xf numFmtId="0" fontId="14" fillId="3" borderId="12" applyAlignment="1" pivotButton="0" quotePrefix="0" xfId="0">
      <alignment horizontal="center"/>
    </xf>
    <xf numFmtId="0" fontId="0" fillId="3" borderId="12" pivotButton="0" quotePrefix="0" xfId="0"/>
    <xf numFmtId="0" fontId="15" fillId="0" borderId="12" pivotButton="0" quotePrefix="0" xfId="0"/>
    <xf numFmtId="0" fontId="0" fillId="0" borderId="12" pivotButton="0" quotePrefix="0" xfId="0"/>
    <xf numFmtId="0" fontId="12" fillId="0" borderId="12" pivotButton="0" quotePrefix="0" xfId="0"/>
    <xf numFmtId="3" fontId="0" fillId="4" borderId="12" pivotButton="0" quotePrefix="0" xfId="0"/>
    <xf numFmtId="3" fontId="0" fillId="0" borderId="12" pivotButton="0" quotePrefix="0" xfId="0"/>
    <xf numFmtId="0" fontId="15" fillId="5" borderId="12" pivotButton="0" quotePrefix="0" xfId="0"/>
    <xf numFmtId="3" fontId="15" fillId="5" borderId="12" pivotButton="0" quotePrefix="0" xfId="0"/>
    <xf numFmtId="0" fontId="15" fillId="6" borderId="12" pivotButton="0" quotePrefix="0" xfId="0"/>
    <xf numFmtId="3" fontId="15" fillId="6" borderId="12" pivotButton="0" quotePrefix="0" xfId="0"/>
    <xf numFmtId="3" fontId="15" fillId="0" borderId="12"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keiei-support-plus-a.com/" TargetMode="External" Id="rId1"/><Relationship Type="http://schemas.openxmlformats.org/officeDocument/2006/relationships/hyperlink" Target="https://keiei-support-plus-a.com/sougyou-yuushi/" TargetMode="External" Id="rId2"/><Relationship Type="http://schemas.openxmlformats.org/officeDocument/2006/relationships/hyperlink" Target="https://keiei-support-plus-a.com/kaisha-setsuritsu/" TargetMode="External" Id="rId3"/><Relationship Type="http://schemas.openxmlformats.org/officeDocument/2006/relationships/hyperlink" Target="https://keiei-support-plus-a.com/zeirishi-hiyou/" TargetMode="External" Id="rId4"/></Relationships>
</file>

<file path=xl/worksheets/sheet1.xml><?xml version="1.0" encoding="utf-8"?>
<worksheet xmlns="http://schemas.openxmlformats.org/spreadsheetml/2006/main">
  <sheetPr>
    <outlinePr summaryBelow="0" summaryRight="0"/>
    <pageSetUpPr/>
  </sheetPr>
  <dimension ref="A1:Z1001"/>
  <sheetViews>
    <sheetView showGridLines="0" workbookViewId="0">
      <selection activeCell="A1" sqref="A1:B1"/>
    </sheetView>
  </sheetViews>
  <sheetFormatPr baseColWidth="8" defaultColWidth="12.6328125" defaultRowHeight="15" customHeight="1"/>
  <cols>
    <col width="12.6328125" customWidth="1" style="31" min="1" max="1"/>
    <col width="70.6328125" customWidth="1" style="31" min="2" max="2"/>
    <col width="12.6328125" customWidth="1" style="31" min="3" max="6"/>
  </cols>
  <sheetData>
    <row r="1" ht="27.75" customHeight="1" s="31">
      <c r="A1" s="32" t="inlineStr">
        <is>
          <t>事業計画書フォーマット作成者の情報</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27.75" customHeight="1" s="31">
      <c r="A2" s="2" t="inlineStr">
        <is>
          <t>会社名</t>
        </is>
      </c>
      <c r="B2" s="3" t="inlineStr">
        <is>
          <t>税理士法人経営サポートプラスアルファ</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27.75" customHeight="1" s="31">
      <c r="A3" s="2" t="inlineStr">
        <is>
          <t>公式サイト</t>
        </is>
      </c>
      <c r="B3" s="4" t="inlineStr">
        <is>
          <t>https://keiei-support-plus-a.com/</t>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27.75" customHeight="1" s="31">
      <c r="A4" s="5" t="n"/>
      <c r="B4" s="6" t="inlineStr">
        <is>
          <t>創業融資サポート（料金とサービス内容はコチラ）</t>
        </is>
      </c>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27.75" customHeight="1" s="31">
      <c r="A5" s="5" t="inlineStr">
        <is>
          <t>事業内容</t>
        </is>
      </c>
      <c r="B5" s="7" t="inlineStr">
        <is>
          <t>法人化サポート（料金とサービス内容はコチラ）</t>
        </is>
      </c>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27.75" customHeight="1" s="31">
      <c r="A6" s="8" t="n"/>
      <c r="B6" s="9" t="inlineStr">
        <is>
          <t>顧問税理士（料金とサービス内容はコチラ）</t>
        </is>
      </c>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98.75" customHeight="1" s="31">
      <c r="A7" s="10" t="inlineStr">
        <is>
          <t>メッセージ</t>
        </is>
      </c>
      <c r="B7" s="10" t="inlineStr">
        <is>
          <t xml:space="preserve">
　この事業計画書を手にしたということは融資を受けようとしているタイミングや事業を始めるタイミングなど、何かしらチャレンジしていく状況にあるのかもしれません。
（チャレンジすることは素晴らしいことで、更に言えば致命傷を負わないチャレンジがおすすめです。）
事業を育てていくには大変なことも多いですが、その分やりがいや生きがいにも繋がっていくことと思います。
あなたのビジネスがうまいくいくことを願っております。
税理士法人経営サポートプラスアルファ　</t>
        </is>
      </c>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15.75" customHeight="1" s="31">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5.75" customHeight="1" s="31">
      <c r="A9" s="1" t="n"/>
      <c r="B9" s="1"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15.75" customHeight="1" s="31">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5.75" customHeight="1" s="31">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15.75" customHeight="1" s="31">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5.75" customHeight="1" s="31">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5.75" customHeight="1" s="31">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5.75" customHeight="1" s="31">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5.75" customHeight="1" s="31">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5.75" customHeight="1" s="31">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5.75" customHeight="1" s="31">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5.75" customHeight="1" s="31">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5.75" customHeight="1" s="31">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s="3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s="31">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s="31">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31">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31">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s="31">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31">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31">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s="31">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31">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3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31">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31">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31">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31">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31">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31">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31">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31">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31">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3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31">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31">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31">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31">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31">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3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3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3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3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3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3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3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3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3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3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3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3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3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3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3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3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3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3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3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31">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31">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31">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3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3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3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3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3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3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3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3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3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3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3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31">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3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31">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31">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31">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31">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31">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31">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31">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31">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31">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3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31">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31">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31">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31">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31">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31">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31">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31">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31">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3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31">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31">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31">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31">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31">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31">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31">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31">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31">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3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31">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31">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31">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31">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31">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31">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31">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31">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31">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3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31">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31">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31">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31">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31">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31">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31">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31">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31">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3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31">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31">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31">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31">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31">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31">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31">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31">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31">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3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31">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31">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31">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31">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31">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31">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31">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31">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31">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3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31">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31">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31">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31">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31">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31">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31">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31">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31">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3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31">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31">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31">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31">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31">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31">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31">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31">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31">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3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31">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31">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31">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31">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31">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31">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31">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31">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31">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3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31">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31">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31">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31">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31">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31">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31">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31">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31">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3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31">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31">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31">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31">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31">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31">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31">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31">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31">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3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31">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31">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31">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31">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31">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31">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31">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31">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31">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3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31">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31">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31">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31">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31">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31">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31">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31">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31">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3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31">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31">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31">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31">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31">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31">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31">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31">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31">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3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31">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31">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31">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31">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31">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31">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31">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31">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31">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3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31">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31">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31">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31">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31">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31">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31">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31">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31">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3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31">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31">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31">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31">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31">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31">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31">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31">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31">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3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31">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31">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31">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31">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31">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31">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31">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31">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31">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3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31">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31">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31">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31">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31">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31">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31">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31">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31">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3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31">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31">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31">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31">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31">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31">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31">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31">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31">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3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31">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31">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31">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31">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31">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31">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31">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31">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31">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3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31">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31">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31">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31">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31">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31">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31">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31">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31">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3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31">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31">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31">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31">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31">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31">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31">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31">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31">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3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31">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31">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31">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31">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31">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31">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31">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31">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31">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3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31">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31">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31">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31">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31">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31">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31">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31">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31">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3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31">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31">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31">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31">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31">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31">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31">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31">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31">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3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31">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31">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31">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31">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31">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31">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31">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31">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31">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3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31">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31">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31">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31">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31">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31">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31">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31">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31">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3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31">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31">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31">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31">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31">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31">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31">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31">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31">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3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31">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31">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31">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31">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31">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31">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31">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31">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31">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3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31">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31">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31">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31">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31">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31">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31">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31">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31">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3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31">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31">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31">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31">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31">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31">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31">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31">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31">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3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31">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31">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31">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31">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31">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31">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31">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31">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31">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3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31">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31">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31">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31">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31">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31">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31">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31">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31">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3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31">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31">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31">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31">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31">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31">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31">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31">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31">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3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31">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31">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31">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31">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31">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31">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31">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31">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31">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3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31">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31">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31">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31">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31">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31">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31">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31">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31">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3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31">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31">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31">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31">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31">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31">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31">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31">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31">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3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31">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31">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31">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31">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31">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31">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31">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31">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31">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3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31">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31">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31">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31">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31">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31">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31">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31">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31">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3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31">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31">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31">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31">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31">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31">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31">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31">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31">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3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31">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31">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31">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31">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31">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31">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31">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31">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31">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3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31">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31">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31">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31">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31">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31">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31">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31">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31">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3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31">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31">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31">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31">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31">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31">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31">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31">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31">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3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31">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31">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31">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31">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31">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31">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31">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31">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31">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3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31">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31">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31">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31">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31">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31">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31">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31">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31">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3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31">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31">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31">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31">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31">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31">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31">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31">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31">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3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31">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31">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31">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31">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31">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31">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31">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31">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31">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3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31">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31">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31">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31">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31">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31">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31">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31">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31">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3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31">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31">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31">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31">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31">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31">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31">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31">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31">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3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31">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31">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31">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31">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31">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31">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31">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31">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31">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3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31">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31">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31">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31">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31">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31">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31">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31">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31">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3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31">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31">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31">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31">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31">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31">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31">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31">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31">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3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31">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31">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31">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31">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31">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31">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31">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31">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31">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3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31">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31">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31">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31">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31">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31">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31">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31">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31">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3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31">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31">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31">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31">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31">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31">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31">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31">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31">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3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31">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31">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31">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31">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31">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31">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31">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31">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31">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3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31">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31">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31">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31">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31">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31">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31">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31">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31">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3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31">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31">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31">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31">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31">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31">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31">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31">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31">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3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31">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31">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31">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31">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31">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31">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31">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31">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31">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3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31">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31">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31">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31">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31">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31">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31">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31">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31">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3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31">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31">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31">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31">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31">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31">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31">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31">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31">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3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31">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31">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31">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31">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31">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31">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31">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31">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31">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3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31">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31">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31">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31">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31">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31">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31">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31">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31">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3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31">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31">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31">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31">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31">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31">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31">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31">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31">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3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31">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31">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31">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31">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31">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31">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31">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31">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31">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3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31">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31">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31">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31">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31">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31">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31">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31">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31">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3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31">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31">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31">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31">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31">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31">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31">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31">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31">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3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31">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31">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31">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31">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31">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31">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31">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31">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31">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3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31">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31">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31">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31">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31">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31">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31">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31">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31">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3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31">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31">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31">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31">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31">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31">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31">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31">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31">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3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31">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31">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31">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31">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31">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31">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31">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31">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31">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3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31">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31">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31">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31">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31">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31">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31">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31">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31">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3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31">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31">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31">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31">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31">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31">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31">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31">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31">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3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31">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31">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31">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31">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31">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31">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31">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31">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31">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3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31">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31">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31">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31">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31">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31">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31">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31">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31">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3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31">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31">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31">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31">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31">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31">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31">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31">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31">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3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31">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31">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31">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31">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31">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31">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31">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31">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31">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3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31">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31">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31">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31">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31">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31">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31">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31">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31">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3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31">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31">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31">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31">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31">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31">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31">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31">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31">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3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31">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31">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31">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31">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31">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31">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31">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31">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31">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3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31">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31">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31">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31">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31">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31">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31">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31">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31">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3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31">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31">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31">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31">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31">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31">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31">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31">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31">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3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31">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31">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31">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31">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31">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31">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31">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31">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31">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3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31">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31">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31">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31">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31">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31">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31">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31">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31">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3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31">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31">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31">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31">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31">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31">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31">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31">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31">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3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31">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31">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31">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31">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31">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31">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31">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31">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31">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3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31">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31">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31">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31">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31">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31">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31">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31">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31">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3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31">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31">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31">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31">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31">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31">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31">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31">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31">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3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31">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31">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31">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31">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31">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31">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31">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31">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31">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3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31">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31">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31">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31">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31">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31">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31">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31">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31">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row r="1001" ht="15.75" customHeight="1" s="31">
      <c r="A1001" s="1" t="n"/>
      <c r="B1001" s="1" t="n"/>
      <c r="C1001" s="1" t="n"/>
      <c r="D1001" s="1" t="n"/>
      <c r="E1001" s="1" t="n"/>
      <c r="F1001" s="1" t="n"/>
      <c r="G1001" s="1" t="n"/>
      <c r="H1001" s="1" t="n"/>
      <c r="I1001" s="1" t="n"/>
      <c r="J1001" s="1" t="n"/>
      <c r="K1001" s="1" t="n"/>
      <c r="L1001" s="1" t="n"/>
      <c r="M1001" s="1" t="n"/>
      <c r="N1001" s="1" t="n"/>
      <c r="O1001" s="1" t="n"/>
      <c r="P1001" s="1" t="n"/>
      <c r="Q1001" s="1" t="n"/>
      <c r="R1001" s="1" t="n"/>
      <c r="S1001" s="1" t="n"/>
      <c r="T1001" s="1" t="n"/>
      <c r="U1001" s="1" t="n"/>
      <c r="V1001" s="1" t="n"/>
      <c r="W1001" s="1" t="n"/>
      <c r="X1001" s="1" t="n"/>
      <c r="Y1001" s="1" t="n"/>
      <c r="Z1001" s="1" t="n"/>
    </row>
  </sheetData>
  <mergeCells count="1">
    <mergeCell ref="A1:B1"/>
  </mergeCells>
  <hyperlinks>
    <hyperlink xmlns:r="http://schemas.openxmlformats.org/officeDocument/2006/relationships" ref="B3" r:id="rId1"/>
    <hyperlink xmlns:r="http://schemas.openxmlformats.org/officeDocument/2006/relationships" ref="B4" r:id="rId2"/>
    <hyperlink xmlns:r="http://schemas.openxmlformats.org/officeDocument/2006/relationships" ref="B5" r:id="rId3"/>
    <hyperlink xmlns:r="http://schemas.openxmlformats.org/officeDocument/2006/relationships" ref="B6" r:id="rId4"/>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99"/>
  <sheetViews>
    <sheetView workbookViewId="0">
      <selection activeCell="A1" sqref="A1"/>
    </sheetView>
  </sheetViews>
  <sheetFormatPr baseColWidth="8" defaultRowHeight="15"/>
  <cols>
    <col width="46" customWidth="1" style="31" min="1" max="1"/>
    <col width="10" customWidth="1" style="31" min="2" max="2"/>
    <col width="10" customWidth="1" style="31" min="3" max="3"/>
    <col width="10" customWidth="1" style="31" min="4" max="4"/>
    <col width="10" customWidth="1" style="31" min="5" max="5"/>
    <col width="10" customWidth="1" style="31" min="6" max="6"/>
    <col width="10" customWidth="1" style="31" min="7" max="7"/>
    <col width="10" customWidth="1" style="31" min="8" max="8"/>
    <col width="10" customWidth="1" style="31" min="9" max="9"/>
    <col width="10" customWidth="1" style="31" min="10" max="10"/>
    <col width="10" customWidth="1" style="31" min="11" max="11"/>
    <col width="10" customWidth="1" style="31" min="12" max="12"/>
    <col width="10" customWidth="1" style="31" min="13" max="13"/>
    <col width="14" customWidth="1" style="31" min="14" max="14"/>
    <col width="14" customWidth="1" style="31" min="15" max="15"/>
    <col width="14" customWidth="1" style="31" min="16" max="16"/>
  </cols>
  <sheetData>
    <row r="1">
      <c r="A1" s="33" t="inlineStr">
        <is>
          <t>事業主名：ITERRA株式会社／資本金50万円</t>
        </is>
      </c>
      <c r="F1" s="33" t="inlineStr">
        <is>
          <t>事業計画書</t>
        </is>
      </c>
    </row>
    <row r="2">
      <c r="A2" s="34" t="inlineStr">
        <is>
          <t>業種：IT伴走支援（介護業界向け・経営/業務/システムの構造設計と並走）　経理：税込経理／課税方式は要確認（簡易課税前提）</t>
        </is>
      </c>
    </row>
    <row r="3">
      <c r="A3" s="35" t="inlineStr">
        <is>
          <t>期：1期=2023/6〜12、以後1〜12月サイクル。本表＝当期4期(2026)/翌期5期(2027)/翌々期6期(2028)。新規受注は2026年8月以降。</t>
        </is>
      </c>
    </row>
    <row r="4">
      <c r="A4" s="36" t="inlineStr">
        <is>
          <t>月</t>
        </is>
      </c>
      <c r="B4" s="37" t="n">
        <v>1</v>
      </c>
      <c r="C4" s="37" t="n">
        <v>2</v>
      </c>
      <c r="D4" s="37" t="n">
        <v>3</v>
      </c>
      <c r="E4" s="37" t="n">
        <v>4</v>
      </c>
      <c r="F4" s="37" t="n">
        <v>5</v>
      </c>
      <c r="G4" s="37" t="n">
        <v>6</v>
      </c>
      <c r="H4" s="37" t="n">
        <v>7</v>
      </c>
      <c r="I4" s="37" t="n">
        <v>8</v>
      </c>
      <c r="J4" s="37" t="n">
        <v>9</v>
      </c>
      <c r="K4" s="37" t="n">
        <v>10</v>
      </c>
      <c r="L4" s="37" t="n">
        <v>11</v>
      </c>
      <c r="M4" s="37" t="n">
        <v>12</v>
      </c>
      <c r="N4" s="37" t="inlineStr">
        <is>
          <t>当期 4期(2026)</t>
        </is>
      </c>
      <c r="O4" s="37" t="inlineStr">
        <is>
          <t>翌期 5期(2027)</t>
        </is>
      </c>
      <c r="P4" s="37" t="inlineStr">
        <is>
          <t>翌々期 6期(2028)</t>
        </is>
      </c>
    </row>
    <row r="5">
      <c r="A5" s="36" t="inlineStr">
        <is>
          <t>【売上の部】</t>
        </is>
      </c>
      <c r="B5" s="38" t="n"/>
      <c r="C5" s="38" t="n"/>
      <c r="D5" s="38" t="n"/>
      <c r="E5" s="38" t="n"/>
      <c r="F5" s="38" t="n"/>
      <c r="G5" s="38" t="n"/>
      <c r="H5" s="38" t="n"/>
      <c r="I5" s="38" t="n"/>
      <c r="J5" s="38" t="n"/>
      <c r="K5" s="38" t="n"/>
      <c r="L5" s="38" t="n"/>
      <c r="M5" s="38" t="n"/>
      <c r="N5" s="38" t="n"/>
      <c r="O5" s="38" t="n"/>
      <c r="P5" s="38" t="n"/>
    </row>
    <row r="6">
      <c r="A6" s="39" t="inlineStr">
        <is>
          <t>① 診断サービス（スポット）</t>
        </is>
      </c>
      <c r="B6" s="40" t="n"/>
      <c r="C6" s="40" t="n"/>
      <c r="D6" s="40" t="n"/>
      <c r="E6" s="40" t="n"/>
      <c r="F6" s="40" t="n"/>
      <c r="G6" s="40" t="n"/>
      <c r="H6" s="40" t="n"/>
      <c r="I6" s="40" t="n"/>
      <c r="J6" s="40" t="n"/>
      <c r="K6" s="40" t="n"/>
      <c r="L6" s="40" t="n"/>
      <c r="M6" s="40" t="n"/>
      <c r="N6" s="40" t="n"/>
      <c r="O6" s="40" t="n"/>
      <c r="P6" s="40" t="n"/>
    </row>
    <row r="7">
      <c r="A7" s="41" t="inlineStr">
        <is>
          <t xml:space="preserve">　立ち上げ（@10万・先着5社）</t>
        </is>
      </c>
      <c r="B7" s="42" t="n">
        <v>0</v>
      </c>
      <c r="C7" s="42" t="n">
        <v>0</v>
      </c>
      <c r="D7" s="42" t="n">
        <v>0</v>
      </c>
      <c r="E7" s="42" t="n">
        <v>0</v>
      </c>
      <c r="F7" s="42" t="n">
        <v>0</v>
      </c>
      <c r="G7" s="42" t="n">
        <v>0</v>
      </c>
      <c r="H7" s="42" t="n">
        <v>0</v>
      </c>
      <c r="I7" s="42" t="n">
        <v>100000</v>
      </c>
      <c r="J7" s="42" t="n">
        <v>100000</v>
      </c>
      <c r="K7" s="42" t="n">
        <v>100000</v>
      </c>
      <c r="L7" s="42" t="n">
        <v>100000</v>
      </c>
      <c r="M7" s="42" t="n">
        <v>0</v>
      </c>
      <c r="N7" s="43">
        <f>SUM(B7:M7)</f>
        <v/>
      </c>
      <c r="O7" s="42" t="n">
        <v>100000</v>
      </c>
      <c r="P7" s="42" t="n">
        <v>0</v>
      </c>
    </row>
    <row r="8">
      <c r="A8" s="41" t="inlineStr">
        <is>
          <t xml:space="preserve">　竹／標準（@30万）</t>
        </is>
      </c>
      <c r="B8" s="42" t="n">
        <v>0</v>
      </c>
      <c r="C8" s="42" t="n">
        <v>0</v>
      </c>
      <c r="D8" s="42" t="n">
        <v>0</v>
      </c>
      <c r="E8" s="42" t="n">
        <v>0</v>
      </c>
      <c r="F8" s="42" t="n">
        <v>0</v>
      </c>
      <c r="G8" s="42" t="n">
        <v>0</v>
      </c>
      <c r="H8" s="42" t="n">
        <v>0</v>
      </c>
      <c r="I8" s="42" t="n">
        <v>0</v>
      </c>
      <c r="J8" s="42" t="n">
        <v>0</v>
      </c>
      <c r="K8" s="42" t="n">
        <v>0</v>
      </c>
      <c r="L8" s="42" t="n">
        <v>0</v>
      </c>
      <c r="M8" s="42" t="n">
        <v>0</v>
      </c>
      <c r="N8" s="43">
        <f>SUM(B8:M8)</f>
        <v/>
      </c>
      <c r="O8" s="42" t="n">
        <v>1800000</v>
      </c>
      <c r="P8" s="42" t="n">
        <v>1200000</v>
      </c>
    </row>
    <row r="9">
      <c r="A9" s="44" t="inlineStr">
        <is>
          <t xml:space="preserve">　診断サービス 小計</t>
        </is>
      </c>
      <c r="B9" s="45">
        <f>B7+B8</f>
        <v/>
      </c>
      <c r="C9" s="45">
        <f>C7+C8</f>
        <v/>
      </c>
      <c r="D9" s="45">
        <f>D7+D8</f>
        <v/>
      </c>
      <c r="E9" s="45">
        <f>E7+E8</f>
        <v/>
      </c>
      <c r="F9" s="45">
        <f>F7+F8</f>
        <v/>
      </c>
      <c r="G9" s="45">
        <f>G7+G8</f>
        <v/>
      </c>
      <c r="H9" s="45">
        <f>H7+H8</f>
        <v/>
      </c>
      <c r="I9" s="45">
        <f>I7+I8</f>
        <v/>
      </c>
      <c r="J9" s="45">
        <f>J7+J8</f>
        <v/>
      </c>
      <c r="K9" s="45">
        <f>K7+K8</f>
        <v/>
      </c>
      <c r="L9" s="45">
        <f>L7+L8</f>
        <v/>
      </c>
      <c r="M9" s="45">
        <f>M7+M8</f>
        <v/>
      </c>
      <c r="N9" s="45">
        <f>N7+N8</f>
        <v/>
      </c>
      <c r="O9" s="45">
        <f>O7+O8</f>
        <v/>
      </c>
      <c r="P9" s="45">
        <f>P7+P8</f>
        <v/>
      </c>
    </row>
    <row r="10">
      <c r="A10" s="39" t="inlineStr">
        <is>
          <t>② 伴走支援（月額固定・準委任）</t>
        </is>
      </c>
      <c r="B10" s="40" t="n"/>
      <c r="C10" s="40" t="n"/>
      <c r="D10" s="40" t="n"/>
      <c r="E10" s="40" t="n"/>
      <c r="F10" s="40" t="n"/>
      <c r="G10" s="40" t="n"/>
      <c r="H10" s="40" t="n"/>
      <c r="I10" s="40" t="n"/>
      <c r="J10" s="40" t="n"/>
      <c r="K10" s="40" t="n"/>
      <c r="L10" s="40" t="n"/>
      <c r="M10" s="40" t="n"/>
      <c r="N10" s="40" t="n"/>
      <c r="O10" s="40" t="n"/>
      <c r="P10" s="40" t="n"/>
    </row>
    <row r="11">
      <c r="A11" s="41" t="inlineStr">
        <is>
          <t xml:space="preserve">　松（週3日相当 @110万）</t>
        </is>
      </c>
      <c r="B11" s="42" t="n">
        <v>0</v>
      </c>
      <c r="C11" s="42" t="n">
        <v>0</v>
      </c>
      <c r="D11" s="42" t="n">
        <v>0</v>
      </c>
      <c r="E11" s="42" t="n">
        <v>0</v>
      </c>
      <c r="F11" s="42" t="n">
        <v>0</v>
      </c>
      <c r="G11" s="42" t="n">
        <v>0</v>
      </c>
      <c r="H11" s="42" t="n">
        <v>0</v>
      </c>
      <c r="I11" s="42" t="n">
        <v>0</v>
      </c>
      <c r="J11" s="42" t="n">
        <v>0</v>
      </c>
      <c r="K11" s="42" t="n">
        <v>0</v>
      </c>
      <c r="L11" s="42" t="n">
        <v>0</v>
      </c>
      <c r="M11" s="42" t="n">
        <v>0</v>
      </c>
      <c r="N11" s="43">
        <f>SUM(B11:M11)</f>
        <v/>
      </c>
      <c r="O11" s="42" t="n">
        <v>0</v>
      </c>
      <c r="P11" s="42" t="n">
        <v>0</v>
      </c>
    </row>
    <row r="12">
      <c r="A12" s="41" t="inlineStr">
        <is>
          <t xml:space="preserve">　竹（週2日相当 @75万）★現行主力</t>
        </is>
      </c>
      <c r="B12" s="42" t="n">
        <v>0</v>
      </c>
      <c r="C12" s="42" t="n">
        <v>0</v>
      </c>
      <c r="D12" s="42" t="n">
        <v>0</v>
      </c>
      <c r="E12" s="42" t="n">
        <v>0</v>
      </c>
      <c r="F12" s="42" t="n">
        <v>0</v>
      </c>
      <c r="G12" s="42" t="n">
        <v>0</v>
      </c>
      <c r="H12" s="42" t="n">
        <v>0</v>
      </c>
      <c r="I12" s="42" t="n">
        <v>0</v>
      </c>
      <c r="J12" s="42" t="n">
        <v>0</v>
      </c>
      <c r="K12" s="42" t="n">
        <v>750000</v>
      </c>
      <c r="L12" s="42" t="n">
        <v>750000</v>
      </c>
      <c r="M12" s="42" t="n">
        <v>1500000</v>
      </c>
      <c r="N12" s="43">
        <f>SUM(B12:M12)</f>
        <v/>
      </c>
      <c r="O12" s="42" t="n">
        <v>18000000</v>
      </c>
      <c r="P12" s="42" t="n">
        <v>18000000</v>
      </c>
    </row>
    <row r="13">
      <c r="A13" s="41" t="inlineStr">
        <is>
          <t xml:space="preserve">　梅（週1日相当 @40万）</t>
        </is>
      </c>
      <c r="B13" s="42" t="n">
        <v>0</v>
      </c>
      <c r="C13" s="42" t="n">
        <v>0</v>
      </c>
      <c r="D13" s="42" t="n">
        <v>0</v>
      </c>
      <c r="E13" s="42" t="n">
        <v>0</v>
      </c>
      <c r="F13" s="42" t="n">
        <v>0</v>
      </c>
      <c r="G13" s="42" t="n">
        <v>0</v>
      </c>
      <c r="H13" s="42" t="n">
        <v>0</v>
      </c>
      <c r="I13" s="42" t="n">
        <v>0</v>
      </c>
      <c r="J13" s="42" t="n">
        <v>0</v>
      </c>
      <c r="K13" s="42" t="n">
        <v>0</v>
      </c>
      <c r="L13" s="42" t="n">
        <v>0</v>
      </c>
      <c r="M13" s="42" t="n">
        <v>0</v>
      </c>
      <c r="N13" s="43">
        <f>SUM(B13:M13)</f>
        <v/>
      </c>
      <c r="O13" s="42" t="n">
        <v>2400000</v>
      </c>
      <c r="P13" s="42" t="n">
        <v>4800000</v>
      </c>
    </row>
    <row r="14">
      <c r="A14" s="41" t="inlineStr">
        <is>
          <t xml:space="preserve">　逓減期（自走移行 @35万）</t>
        </is>
      </c>
      <c r="B14" s="42" t="n">
        <v>0</v>
      </c>
      <c r="C14" s="42" t="n">
        <v>0</v>
      </c>
      <c r="D14" s="42" t="n">
        <v>0</v>
      </c>
      <c r="E14" s="42" t="n">
        <v>0</v>
      </c>
      <c r="F14" s="42" t="n">
        <v>0</v>
      </c>
      <c r="G14" s="42" t="n">
        <v>0</v>
      </c>
      <c r="H14" s="42" t="n">
        <v>0</v>
      </c>
      <c r="I14" s="42" t="n">
        <v>0</v>
      </c>
      <c r="J14" s="42" t="n">
        <v>0</v>
      </c>
      <c r="K14" s="42" t="n">
        <v>0</v>
      </c>
      <c r="L14" s="42" t="n">
        <v>0</v>
      </c>
      <c r="M14" s="42" t="n">
        <v>0</v>
      </c>
      <c r="N14" s="43">
        <f>SUM(B14:M14)</f>
        <v/>
      </c>
      <c r="O14" s="42" t="n">
        <v>1400000</v>
      </c>
      <c r="P14" s="42" t="n">
        <v>2800000</v>
      </c>
    </row>
    <row r="15">
      <c r="A15" s="44" t="inlineStr">
        <is>
          <t xml:space="preserve">　伴走支援 小計</t>
        </is>
      </c>
      <c r="B15" s="45">
        <f>B11+B12+B13+B14</f>
        <v/>
      </c>
      <c r="C15" s="45">
        <f>C11+C12+C13+C14</f>
        <v/>
      </c>
      <c r="D15" s="45">
        <f>D11+D12+D13+D14</f>
        <v/>
      </c>
      <c r="E15" s="45">
        <f>E11+E12+E13+E14</f>
        <v/>
      </c>
      <c r="F15" s="45">
        <f>F11+F12+F13+F14</f>
        <v/>
      </c>
      <c r="G15" s="45">
        <f>G11+G12+G13+G14</f>
        <v/>
      </c>
      <c r="H15" s="45">
        <f>H11+H12+H13+H14</f>
        <v/>
      </c>
      <c r="I15" s="45">
        <f>I11+I12+I13+I14</f>
        <v/>
      </c>
      <c r="J15" s="45">
        <f>J11+J12+J13+J14</f>
        <v/>
      </c>
      <c r="K15" s="45">
        <f>K11+K12+K13+K14</f>
        <v/>
      </c>
      <c r="L15" s="45">
        <f>L11+L12+L13+L14</f>
        <v/>
      </c>
      <c r="M15" s="45">
        <f>M11+M12+M13+M14</f>
        <v/>
      </c>
      <c r="N15" s="45">
        <f>N11+N12+N13+N14</f>
        <v/>
      </c>
      <c r="O15" s="45">
        <f>O11+O12+O13+O14</f>
        <v/>
      </c>
      <c r="P15" s="45">
        <f>P11+P12+P13+P14</f>
        <v/>
      </c>
    </row>
    <row r="16">
      <c r="A16" s="39" t="inlineStr">
        <is>
          <t>③ ライト契約（自走後・継続）</t>
        </is>
      </c>
      <c r="B16" s="40" t="n"/>
      <c r="C16" s="40" t="n"/>
      <c r="D16" s="40" t="n"/>
      <c r="E16" s="40" t="n"/>
      <c r="F16" s="40" t="n"/>
      <c r="G16" s="40" t="n"/>
      <c r="H16" s="40" t="n"/>
      <c r="I16" s="40" t="n"/>
      <c r="J16" s="40" t="n"/>
      <c r="K16" s="40" t="n"/>
      <c r="L16" s="40" t="n"/>
      <c r="M16" s="40" t="n"/>
      <c r="N16" s="40" t="n"/>
      <c r="O16" s="40" t="n"/>
      <c r="P16" s="40" t="n"/>
    </row>
    <row r="17">
      <c r="A17" s="41" t="inlineStr">
        <is>
          <t xml:space="preserve">　ライト（@7万）</t>
        </is>
      </c>
      <c r="B17" s="42" t="n">
        <v>0</v>
      </c>
      <c r="C17" s="42" t="n">
        <v>0</v>
      </c>
      <c r="D17" s="42" t="n">
        <v>0</v>
      </c>
      <c r="E17" s="42" t="n">
        <v>0</v>
      </c>
      <c r="F17" s="42" t="n">
        <v>0</v>
      </c>
      <c r="G17" s="42" t="n">
        <v>0</v>
      </c>
      <c r="H17" s="42" t="n">
        <v>0</v>
      </c>
      <c r="I17" s="42" t="n">
        <v>0</v>
      </c>
      <c r="J17" s="42" t="n">
        <v>0</v>
      </c>
      <c r="K17" s="42" t="n">
        <v>0</v>
      </c>
      <c r="L17" s="42" t="n">
        <v>0</v>
      </c>
      <c r="M17" s="42" t="n">
        <v>0</v>
      </c>
      <c r="N17" s="43">
        <f>SUM(B17:M17)</f>
        <v/>
      </c>
      <c r="O17" s="42" t="n">
        <v>840000</v>
      </c>
      <c r="P17" s="42" t="n">
        <v>1680000</v>
      </c>
    </row>
    <row r="18">
      <c r="A18" s="39" t="inlineStr">
        <is>
          <t>④ 既存受託（立ち上げの土台）</t>
        </is>
      </c>
      <c r="B18" s="40" t="n"/>
      <c r="C18" s="40" t="n"/>
      <c r="D18" s="40" t="n"/>
      <c r="E18" s="40" t="n"/>
      <c r="F18" s="40" t="n"/>
      <c r="G18" s="40" t="n"/>
      <c r="H18" s="40" t="n"/>
      <c r="I18" s="40" t="n"/>
      <c r="J18" s="40" t="n"/>
      <c r="K18" s="40" t="n"/>
      <c r="L18" s="40" t="n"/>
      <c r="M18" s="40" t="n"/>
      <c r="N18" s="40" t="n"/>
      <c r="O18" s="40" t="n"/>
      <c r="P18" s="40" t="n"/>
    </row>
    <row r="19">
      <c r="A19" s="41" t="inlineStr">
        <is>
          <t xml:space="preserve">　既存受託（@40万/月）</t>
        </is>
      </c>
      <c r="B19" s="42" t="n">
        <v>400000</v>
      </c>
      <c r="C19" s="42" t="n">
        <v>400000</v>
      </c>
      <c r="D19" s="42" t="n">
        <v>400000</v>
      </c>
      <c r="E19" s="42" t="n">
        <v>400000</v>
      </c>
      <c r="F19" s="42" t="n">
        <v>400000</v>
      </c>
      <c r="G19" s="42" t="n">
        <v>400000</v>
      </c>
      <c r="H19" s="42" t="n">
        <v>400000</v>
      </c>
      <c r="I19" s="42" t="n">
        <v>400000</v>
      </c>
      <c r="J19" s="42" t="n">
        <v>400000</v>
      </c>
      <c r="K19" s="42" t="n">
        <v>400000</v>
      </c>
      <c r="L19" s="42" t="n">
        <v>400000</v>
      </c>
      <c r="M19" s="42" t="n">
        <v>400000</v>
      </c>
      <c r="N19" s="43">
        <f>SUM(B19:M19)</f>
        <v/>
      </c>
      <c r="O19" s="42" t="n">
        <v>4800000</v>
      </c>
      <c r="P19" s="42" t="n">
        <v>4800000</v>
      </c>
    </row>
    <row r="20">
      <c r="A20" s="46" t="inlineStr">
        <is>
          <t>売上高 合計</t>
        </is>
      </c>
      <c r="B20" s="47">
        <f>B9+B15+B17+B19</f>
        <v/>
      </c>
      <c r="C20" s="47">
        <f>C9+C15+C17+C19</f>
        <v/>
      </c>
      <c r="D20" s="47">
        <f>D9+D15+D17+D19</f>
        <v/>
      </c>
      <c r="E20" s="47">
        <f>E9+E15+E17+E19</f>
        <v/>
      </c>
      <c r="F20" s="47">
        <f>F9+F15+F17+F19</f>
        <v/>
      </c>
      <c r="G20" s="47">
        <f>G9+G15+G17+G19</f>
        <v/>
      </c>
      <c r="H20" s="47">
        <f>H9+H15+H17+H19</f>
        <v/>
      </c>
      <c r="I20" s="47">
        <f>I9+I15+I17+I19</f>
        <v/>
      </c>
      <c r="J20" s="47">
        <f>J9+J15+J17+J19</f>
        <v/>
      </c>
      <c r="K20" s="47">
        <f>K9+K15+K17+K19</f>
        <v/>
      </c>
      <c r="L20" s="47">
        <f>L9+L15+L17+L19</f>
        <v/>
      </c>
      <c r="M20" s="47">
        <f>M9+M15+M17+M19</f>
        <v/>
      </c>
      <c r="N20" s="47">
        <f>N9+N15+N17+N19</f>
        <v/>
      </c>
      <c r="O20" s="47">
        <f>O9+O15+O17+O19</f>
        <v/>
      </c>
      <c r="P20" s="47">
        <f>P9+P15+P17+P19</f>
        <v/>
      </c>
    </row>
    <row r="21">
      <c r="A21" s="41" t="inlineStr">
        <is>
          <t>売上原価（伴走は原価なし）</t>
        </is>
      </c>
      <c r="B21" s="43" t="n">
        <v>0</v>
      </c>
      <c r="C21" s="43" t="n">
        <v>0</v>
      </c>
      <c r="D21" s="43" t="n">
        <v>0</v>
      </c>
      <c r="E21" s="43" t="n">
        <v>0</v>
      </c>
      <c r="F21" s="43" t="n">
        <v>0</v>
      </c>
      <c r="G21" s="43" t="n">
        <v>0</v>
      </c>
      <c r="H21" s="43" t="n">
        <v>0</v>
      </c>
      <c r="I21" s="43" t="n">
        <v>0</v>
      </c>
      <c r="J21" s="43" t="n">
        <v>0</v>
      </c>
      <c r="K21" s="43" t="n">
        <v>0</v>
      </c>
      <c r="L21" s="43" t="n">
        <v>0</v>
      </c>
      <c r="M21" s="43" t="n">
        <v>0</v>
      </c>
      <c r="N21" s="43" t="n">
        <v>0</v>
      </c>
      <c r="O21" s="43" t="n">
        <v>0</v>
      </c>
      <c r="P21" s="43" t="n">
        <v>0</v>
      </c>
    </row>
    <row r="22">
      <c r="A22" s="44" t="inlineStr">
        <is>
          <t>粗利（＝売上高）</t>
        </is>
      </c>
      <c r="B22" s="45">
        <f>B20-B21</f>
        <v/>
      </c>
      <c r="C22" s="45">
        <f>C20-C21</f>
        <v/>
      </c>
      <c r="D22" s="45">
        <f>D20-D21</f>
        <v/>
      </c>
      <c r="E22" s="45">
        <f>E20-E21</f>
        <v/>
      </c>
      <c r="F22" s="45">
        <f>F20-F21</f>
        <v/>
      </c>
      <c r="G22" s="45">
        <f>G20-G21</f>
        <v/>
      </c>
      <c r="H22" s="45">
        <f>H20-H21</f>
        <v/>
      </c>
      <c r="I22" s="45">
        <f>I20-I21</f>
        <v/>
      </c>
      <c r="J22" s="45">
        <f>J20-J21</f>
        <v/>
      </c>
      <c r="K22" s="45">
        <f>K20-K21</f>
        <v/>
      </c>
      <c r="L22" s="45">
        <f>L20-L21</f>
        <v/>
      </c>
      <c r="M22" s="45">
        <f>M20-M21</f>
        <v/>
      </c>
      <c r="N22" s="45">
        <f>N20-N21</f>
        <v/>
      </c>
      <c r="O22" s="45">
        <f>O20-O21</f>
        <v/>
      </c>
      <c r="P22" s="45">
        <f>P20-P21</f>
        <v/>
      </c>
    </row>
    <row r="23">
      <c r="A23" s="36" t="inlineStr">
        <is>
          <t>【販管費の部 — 一般管理費】　※ITERRA勘定科目定義表に準拠</t>
        </is>
      </c>
      <c r="B23" s="38" t="n"/>
      <c r="C23" s="38" t="n"/>
      <c r="D23" s="38" t="n"/>
      <c r="E23" s="38" t="n"/>
      <c r="F23" s="38" t="n"/>
      <c r="G23" s="38" t="n"/>
      <c r="H23" s="38" t="n"/>
      <c r="I23" s="38" t="n"/>
      <c r="J23" s="38" t="n"/>
      <c r="K23" s="38" t="n"/>
      <c r="L23" s="38" t="n"/>
      <c r="M23" s="38" t="n"/>
      <c r="N23" s="38" t="n"/>
      <c r="O23" s="38" t="n"/>
      <c r="P23" s="38" t="n"/>
    </row>
    <row r="24">
      <c r="A24" s="41" t="inlineStr">
        <is>
          <t xml:space="preserve">　役員報酬（@7万固定・定期同額）</t>
        </is>
      </c>
      <c r="B24" s="42" t="n">
        <v>70000</v>
      </c>
      <c r="C24" s="42" t="n">
        <v>70000</v>
      </c>
      <c r="D24" s="42" t="n">
        <v>70000</v>
      </c>
      <c r="E24" s="42" t="n">
        <v>70000</v>
      </c>
      <c r="F24" s="42" t="n">
        <v>70000</v>
      </c>
      <c r="G24" s="42" t="n">
        <v>70000</v>
      </c>
      <c r="H24" s="42" t="n">
        <v>70000</v>
      </c>
      <c r="I24" s="42" t="n">
        <v>70000</v>
      </c>
      <c r="J24" s="42" t="n">
        <v>70000</v>
      </c>
      <c r="K24" s="42" t="n">
        <v>70000</v>
      </c>
      <c r="L24" s="42" t="n">
        <v>70000</v>
      </c>
      <c r="M24" s="42" t="n">
        <v>70000</v>
      </c>
      <c r="N24" s="43">
        <f>SUM(B24:M24)</f>
        <v/>
      </c>
      <c r="O24" s="43">
        <f>N24</f>
        <v/>
      </c>
      <c r="P24" s="43">
        <f>O24</f>
        <v/>
      </c>
    </row>
    <row r="25">
      <c r="A25" s="41" t="inlineStr">
        <is>
          <t xml:space="preserve">　給料手当（一人会社・従業員なし）</t>
        </is>
      </c>
      <c r="B25" s="42" t="n">
        <v>0</v>
      </c>
      <c r="C25" s="42" t="n">
        <v>0</v>
      </c>
      <c r="D25" s="42" t="n">
        <v>0</v>
      </c>
      <c r="E25" s="42" t="n">
        <v>0</v>
      </c>
      <c r="F25" s="42" t="n">
        <v>0</v>
      </c>
      <c r="G25" s="42" t="n">
        <v>0</v>
      </c>
      <c r="H25" s="42" t="n">
        <v>0</v>
      </c>
      <c r="I25" s="42" t="n">
        <v>0</v>
      </c>
      <c r="J25" s="42" t="n">
        <v>0</v>
      </c>
      <c r="K25" s="42" t="n">
        <v>0</v>
      </c>
      <c r="L25" s="42" t="n">
        <v>0</v>
      </c>
      <c r="M25" s="42" t="n">
        <v>0</v>
      </c>
      <c r="N25" s="43">
        <f>SUM(B25:M25)</f>
        <v/>
      </c>
      <c r="O25" s="43">
        <f>N25</f>
        <v/>
      </c>
      <c r="P25" s="43">
        <f>O25</f>
        <v/>
      </c>
    </row>
    <row r="26">
      <c r="A26" s="41" t="inlineStr">
        <is>
          <t xml:space="preserve">　法定福利費（社保・最低等級概算）</t>
        </is>
      </c>
      <c r="B26" s="42" t="n">
        <v>11000</v>
      </c>
      <c r="C26" s="42" t="n">
        <v>11000</v>
      </c>
      <c r="D26" s="42" t="n">
        <v>11000</v>
      </c>
      <c r="E26" s="42" t="n">
        <v>11000</v>
      </c>
      <c r="F26" s="42" t="n">
        <v>11000</v>
      </c>
      <c r="G26" s="42" t="n">
        <v>11000</v>
      </c>
      <c r="H26" s="42" t="n">
        <v>11000</v>
      </c>
      <c r="I26" s="42" t="n">
        <v>11000</v>
      </c>
      <c r="J26" s="42" t="n">
        <v>11000</v>
      </c>
      <c r="K26" s="42" t="n">
        <v>11000</v>
      </c>
      <c r="L26" s="42" t="n">
        <v>11000</v>
      </c>
      <c r="M26" s="42" t="n">
        <v>11000</v>
      </c>
      <c r="N26" s="43">
        <f>SUM(B26:M26)</f>
        <v/>
      </c>
      <c r="O26" s="43">
        <f>N26</f>
        <v/>
      </c>
      <c r="P26" s="43">
        <f>O26</f>
        <v/>
      </c>
    </row>
    <row r="27">
      <c r="A27" s="41" t="inlineStr">
        <is>
          <t xml:space="preserve">　福利厚生費（健診・慶弔等）</t>
        </is>
      </c>
      <c r="B27" s="42" t="n">
        <v>0</v>
      </c>
      <c r="C27" s="42" t="n">
        <v>0</v>
      </c>
      <c r="D27" s="42" t="n">
        <v>0</v>
      </c>
      <c r="E27" s="42" t="n">
        <v>0</v>
      </c>
      <c r="F27" s="42" t="n">
        <v>0</v>
      </c>
      <c r="G27" s="42" t="n">
        <v>0</v>
      </c>
      <c r="H27" s="42" t="n">
        <v>0</v>
      </c>
      <c r="I27" s="42" t="n">
        <v>0</v>
      </c>
      <c r="J27" s="42" t="n">
        <v>0</v>
      </c>
      <c r="K27" s="42" t="n">
        <v>0</v>
      </c>
      <c r="L27" s="42" t="n">
        <v>0</v>
      </c>
      <c r="M27" s="42" t="n">
        <v>0</v>
      </c>
      <c r="N27" s="43">
        <f>SUM(B27:M27)</f>
        <v/>
      </c>
      <c r="O27" s="43">
        <f>N27</f>
        <v/>
      </c>
      <c r="P27" s="43">
        <f>O27</f>
        <v/>
      </c>
    </row>
    <row r="28">
      <c r="A28" s="44" t="inlineStr">
        <is>
          <t xml:space="preserve">　外注費</t>
        </is>
      </c>
      <c r="B28" s="45">
        <f>SUM(B29:B31)</f>
        <v/>
      </c>
      <c r="C28" s="45">
        <f>SUM(C29:C31)</f>
        <v/>
      </c>
      <c r="D28" s="45">
        <f>SUM(D29:D31)</f>
        <v/>
      </c>
      <c r="E28" s="45">
        <f>SUM(E29:E31)</f>
        <v/>
      </c>
      <c r="F28" s="45">
        <f>SUM(F29:F31)</f>
        <v/>
      </c>
      <c r="G28" s="45">
        <f>SUM(G29:G31)</f>
        <v/>
      </c>
      <c r="H28" s="45">
        <f>SUM(H29:H31)</f>
        <v/>
      </c>
      <c r="I28" s="45">
        <f>SUM(I29:I31)</f>
        <v/>
      </c>
      <c r="J28" s="45">
        <f>SUM(J29:J31)</f>
        <v/>
      </c>
      <c r="K28" s="45">
        <f>SUM(K29:K31)</f>
        <v/>
      </c>
      <c r="L28" s="45">
        <f>SUM(L29:L31)</f>
        <v/>
      </c>
      <c r="M28" s="45">
        <f>SUM(M29:M31)</f>
        <v/>
      </c>
      <c r="N28" s="45">
        <f>SUM(B28:M28)</f>
        <v/>
      </c>
      <c r="O28" s="45">
        <f>N28</f>
        <v/>
      </c>
      <c r="P28" s="45">
        <f>O28</f>
        <v/>
      </c>
    </row>
    <row r="29">
      <c r="A29" s="41" t="inlineStr">
        <is>
          <t xml:space="preserve">　　・制作外注（登録事業者）</t>
        </is>
      </c>
      <c r="B29" s="42" t="n">
        <v>0</v>
      </c>
      <c r="C29" s="42" t="n">
        <v>0</v>
      </c>
      <c r="D29" s="42" t="n">
        <v>0</v>
      </c>
      <c r="E29" s="42" t="n">
        <v>0</v>
      </c>
      <c r="F29" s="42" t="n">
        <v>0</v>
      </c>
      <c r="G29" s="42" t="n">
        <v>0</v>
      </c>
      <c r="H29" s="42" t="n">
        <v>0</v>
      </c>
      <c r="I29" s="42" t="n">
        <v>0</v>
      </c>
      <c r="J29" s="42" t="n">
        <v>0</v>
      </c>
      <c r="K29" s="42" t="n">
        <v>0</v>
      </c>
      <c r="L29" s="42" t="n">
        <v>0</v>
      </c>
      <c r="M29" s="42" t="n">
        <v>0</v>
      </c>
      <c r="N29" s="43">
        <f>SUM(B29:M29)</f>
        <v/>
      </c>
      <c r="O29" s="43">
        <f>N29</f>
        <v/>
      </c>
      <c r="P29" s="43">
        <f>O29</f>
        <v/>
      </c>
    </row>
    <row r="30">
      <c r="A30" s="41" t="inlineStr">
        <is>
          <t xml:space="preserve">　　・制作外注（免税・経過措置〜R8.9）</t>
        </is>
      </c>
      <c r="B30" s="42" t="n">
        <v>0</v>
      </c>
      <c r="C30" s="42" t="n">
        <v>0</v>
      </c>
      <c r="D30" s="42" t="n">
        <v>0</v>
      </c>
      <c r="E30" s="42" t="n">
        <v>0</v>
      </c>
      <c r="F30" s="42" t="n">
        <v>0</v>
      </c>
      <c r="G30" s="42" t="n">
        <v>0</v>
      </c>
      <c r="H30" s="42" t="n">
        <v>0</v>
      </c>
      <c r="I30" s="42" t="n">
        <v>0</v>
      </c>
      <c r="J30" s="42" t="n">
        <v>0</v>
      </c>
      <c r="K30" s="42" t="n">
        <v>0</v>
      </c>
      <c r="L30" s="42" t="n">
        <v>0</v>
      </c>
      <c r="M30" s="42" t="n">
        <v>0</v>
      </c>
      <c r="N30" s="43">
        <f>SUM(B30:M30)</f>
        <v/>
      </c>
      <c r="O30" s="43">
        <f>N30</f>
        <v/>
      </c>
      <c r="P30" s="43">
        <f>O30</f>
        <v/>
      </c>
    </row>
    <row r="31">
      <c r="A31" s="41" t="inlineStr">
        <is>
          <t xml:space="preserve">　　・業務委託（個人・源泉対象）</t>
        </is>
      </c>
      <c r="B31" s="42" t="n">
        <v>0</v>
      </c>
      <c r="C31" s="42" t="n">
        <v>0</v>
      </c>
      <c r="D31" s="42" t="n">
        <v>0</v>
      </c>
      <c r="E31" s="42" t="n">
        <v>0</v>
      </c>
      <c r="F31" s="42" t="n">
        <v>0</v>
      </c>
      <c r="G31" s="42" t="n">
        <v>0</v>
      </c>
      <c r="H31" s="42" t="n">
        <v>0</v>
      </c>
      <c r="I31" s="42" t="n">
        <v>0</v>
      </c>
      <c r="J31" s="42" t="n">
        <v>0</v>
      </c>
      <c r="K31" s="42" t="n">
        <v>0</v>
      </c>
      <c r="L31" s="42" t="n">
        <v>0</v>
      </c>
      <c r="M31" s="42" t="n">
        <v>0</v>
      </c>
      <c r="N31" s="43">
        <f>SUM(B31:M31)</f>
        <v/>
      </c>
      <c r="O31" s="43">
        <f>N31</f>
        <v/>
      </c>
      <c r="P31" s="43">
        <f>O31</f>
        <v/>
      </c>
    </row>
    <row r="32">
      <c r="A32" s="44" t="inlineStr">
        <is>
          <t xml:space="preserve">　通信費</t>
        </is>
      </c>
      <c r="B32" s="45">
        <f>SUM(B33:B35)</f>
        <v/>
      </c>
      <c r="C32" s="45">
        <f>SUM(C33:C35)</f>
        <v/>
      </c>
      <c r="D32" s="45">
        <f>SUM(D33:D35)</f>
        <v/>
      </c>
      <c r="E32" s="45">
        <f>SUM(E33:E35)</f>
        <v/>
      </c>
      <c r="F32" s="45">
        <f>SUM(F33:F35)</f>
        <v/>
      </c>
      <c r="G32" s="45">
        <f>SUM(G33:G35)</f>
        <v/>
      </c>
      <c r="H32" s="45">
        <f>SUM(H33:H35)</f>
        <v/>
      </c>
      <c r="I32" s="45">
        <f>SUM(I33:I35)</f>
        <v/>
      </c>
      <c r="J32" s="45">
        <f>SUM(J33:J35)</f>
        <v/>
      </c>
      <c r="K32" s="45">
        <f>SUM(K33:K35)</f>
        <v/>
      </c>
      <c r="L32" s="45">
        <f>SUM(L33:L35)</f>
        <v/>
      </c>
      <c r="M32" s="45">
        <f>SUM(M33:M35)</f>
        <v/>
      </c>
      <c r="N32" s="45">
        <f>SUM(B32:M32)</f>
        <v/>
      </c>
      <c r="O32" s="45">
        <f>N32</f>
        <v/>
      </c>
      <c r="P32" s="45">
        <f>O32</f>
        <v/>
      </c>
    </row>
    <row r="33">
      <c r="A33" s="41" t="inlineStr">
        <is>
          <t xml:space="preserve">　　・携帯電話（ドコモ/03Plus）</t>
        </is>
      </c>
      <c r="B33" s="42" t="n">
        <v>30000</v>
      </c>
      <c r="C33" s="42" t="n">
        <v>30000</v>
      </c>
      <c r="D33" s="42" t="n">
        <v>30000</v>
      </c>
      <c r="E33" s="42" t="n">
        <v>30000</v>
      </c>
      <c r="F33" s="42" t="n">
        <v>30000</v>
      </c>
      <c r="G33" s="42" t="n">
        <v>30000</v>
      </c>
      <c r="H33" s="42" t="n">
        <v>30000</v>
      </c>
      <c r="I33" s="42" t="n">
        <v>30000</v>
      </c>
      <c r="J33" s="42" t="n">
        <v>30000</v>
      </c>
      <c r="K33" s="42" t="n">
        <v>30000</v>
      </c>
      <c r="L33" s="42" t="n">
        <v>30000</v>
      </c>
      <c r="M33" s="42" t="n">
        <v>30000</v>
      </c>
      <c r="N33" s="43">
        <f>SUM(B33:M33)</f>
        <v/>
      </c>
      <c r="O33" s="43">
        <f>N33</f>
        <v/>
      </c>
      <c r="P33" s="43">
        <f>O33</f>
        <v/>
      </c>
    </row>
    <row r="34">
      <c r="A34" s="41" t="inlineStr">
        <is>
          <t xml:space="preserve">　　・インターネット・回線</t>
        </is>
      </c>
      <c r="B34" s="42" t="n">
        <v>10000</v>
      </c>
      <c r="C34" s="42" t="n">
        <v>10000</v>
      </c>
      <c r="D34" s="42" t="n">
        <v>10000</v>
      </c>
      <c r="E34" s="42" t="n">
        <v>10000</v>
      </c>
      <c r="F34" s="42" t="n">
        <v>10000</v>
      </c>
      <c r="G34" s="42" t="n">
        <v>10000</v>
      </c>
      <c r="H34" s="42" t="n">
        <v>10000</v>
      </c>
      <c r="I34" s="42" t="n">
        <v>10000</v>
      </c>
      <c r="J34" s="42" t="n">
        <v>10000</v>
      </c>
      <c r="K34" s="42" t="n">
        <v>10000</v>
      </c>
      <c r="L34" s="42" t="n">
        <v>10000</v>
      </c>
      <c r="M34" s="42" t="n">
        <v>10000</v>
      </c>
      <c r="N34" s="43">
        <f>SUM(B34:M34)</f>
        <v/>
      </c>
      <c r="O34" s="43">
        <f>N34</f>
        <v/>
      </c>
      <c r="P34" s="43">
        <f>O34</f>
        <v/>
      </c>
    </row>
    <row r="35">
      <c r="A35" s="41" t="inlineStr">
        <is>
          <t xml:space="preserve">　　・サーバー・ドメイン（エックスサーバー等）</t>
        </is>
      </c>
      <c r="B35" s="42" t="n">
        <v>10000</v>
      </c>
      <c r="C35" s="42" t="n">
        <v>10000</v>
      </c>
      <c r="D35" s="42" t="n">
        <v>10000</v>
      </c>
      <c r="E35" s="42" t="n">
        <v>10000</v>
      </c>
      <c r="F35" s="42" t="n">
        <v>10000</v>
      </c>
      <c r="G35" s="42" t="n">
        <v>10000</v>
      </c>
      <c r="H35" s="42" t="n">
        <v>10000</v>
      </c>
      <c r="I35" s="42" t="n">
        <v>10000</v>
      </c>
      <c r="J35" s="42" t="n">
        <v>10000</v>
      </c>
      <c r="K35" s="42" t="n">
        <v>10000</v>
      </c>
      <c r="L35" s="42" t="n">
        <v>10000</v>
      </c>
      <c r="M35" s="42" t="n">
        <v>10000</v>
      </c>
      <c r="N35" s="43">
        <f>SUM(B35:M35)</f>
        <v/>
      </c>
      <c r="O35" s="43">
        <f>N35</f>
        <v/>
      </c>
      <c r="P35" s="43">
        <f>O35</f>
        <v/>
      </c>
    </row>
    <row r="36">
      <c r="A36" s="44" t="inlineStr">
        <is>
          <t xml:space="preserve">　ソフトウェア利用料</t>
        </is>
      </c>
      <c r="B36" s="45">
        <f>SUM(B37:B41)</f>
        <v/>
      </c>
      <c r="C36" s="45">
        <f>SUM(C37:C41)</f>
        <v/>
      </c>
      <c r="D36" s="45">
        <f>SUM(D37:D41)</f>
        <v/>
      </c>
      <c r="E36" s="45">
        <f>SUM(E37:E41)</f>
        <v/>
      </c>
      <c r="F36" s="45">
        <f>SUM(F37:F41)</f>
        <v/>
      </c>
      <c r="G36" s="45">
        <f>SUM(G37:G41)</f>
        <v/>
      </c>
      <c r="H36" s="45">
        <f>SUM(H37:H41)</f>
        <v/>
      </c>
      <c r="I36" s="45">
        <f>SUM(I37:I41)</f>
        <v/>
      </c>
      <c r="J36" s="45">
        <f>SUM(J37:J41)</f>
        <v/>
      </c>
      <c r="K36" s="45">
        <f>SUM(K37:K41)</f>
        <v/>
      </c>
      <c r="L36" s="45">
        <f>SUM(L37:L41)</f>
        <v/>
      </c>
      <c r="M36" s="45">
        <f>SUM(M37:M41)</f>
        <v/>
      </c>
      <c r="N36" s="45">
        <f>SUM(B36:M36)</f>
        <v/>
      </c>
      <c r="O36" s="45">
        <f>N36</f>
        <v/>
      </c>
      <c r="P36" s="45">
        <f>O36</f>
        <v/>
      </c>
    </row>
    <row r="37">
      <c r="A37" s="41" t="inlineStr">
        <is>
          <t xml:space="preserve">　　・グループウェア（Google Workspace）</t>
        </is>
      </c>
      <c r="B37" s="42" t="n">
        <v>0</v>
      </c>
      <c r="C37" s="42" t="n">
        <v>0</v>
      </c>
      <c r="D37" s="42" t="n">
        <v>0</v>
      </c>
      <c r="E37" s="42" t="n">
        <v>0</v>
      </c>
      <c r="F37" s="42" t="n">
        <v>0</v>
      </c>
      <c r="G37" s="42" t="n">
        <v>0</v>
      </c>
      <c r="H37" s="42" t="n">
        <v>0</v>
      </c>
      <c r="I37" s="42" t="n">
        <v>0</v>
      </c>
      <c r="J37" s="42" t="n">
        <v>0</v>
      </c>
      <c r="K37" s="42" t="n">
        <v>0</v>
      </c>
      <c r="L37" s="42" t="n">
        <v>0</v>
      </c>
      <c r="M37" s="42" t="n">
        <v>0</v>
      </c>
      <c r="N37" s="43">
        <f>SUM(B37:M37)</f>
        <v/>
      </c>
      <c r="O37" s="43">
        <f>N37</f>
        <v/>
      </c>
      <c r="P37" s="43">
        <f>O37</f>
        <v/>
      </c>
    </row>
    <row r="38">
      <c r="A38" s="41" t="inlineStr">
        <is>
          <t xml:space="preserve">　　・生成AI（Claude/OpenAI 等）</t>
        </is>
      </c>
      <c r="B38" s="42" t="n">
        <v>0</v>
      </c>
      <c r="C38" s="42" t="n">
        <v>0</v>
      </c>
      <c r="D38" s="42" t="n">
        <v>0</v>
      </c>
      <c r="E38" s="42" t="n">
        <v>0</v>
      </c>
      <c r="F38" s="42" t="n">
        <v>0</v>
      </c>
      <c r="G38" s="42" t="n">
        <v>0</v>
      </c>
      <c r="H38" s="42" t="n">
        <v>0</v>
      </c>
      <c r="I38" s="42" t="n">
        <v>0</v>
      </c>
      <c r="J38" s="42" t="n">
        <v>0</v>
      </c>
      <c r="K38" s="42" t="n">
        <v>0</v>
      </c>
      <c r="L38" s="42" t="n">
        <v>0</v>
      </c>
      <c r="M38" s="42" t="n">
        <v>0</v>
      </c>
      <c r="N38" s="43">
        <f>SUM(B38:M38)</f>
        <v/>
      </c>
      <c r="O38" s="43">
        <f>N38</f>
        <v/>
      </c>
      <c r="P38" s="43">
        <f>O38</f>
        <v/>
      </c>
    </row>
    <row r="39">
      <c r="A39" s="41" t="inlineStr">
        <is>
          <t xml:space="preserve">　　・コミュニケーション（Zoom/Slack/Chatwork）</t>
        </is>
      </c>
      <c r="B39" s="42" t="n">
        <v>0</v>
      </c>
      <c r="C39" s="42" t="n">
        <v>0</v>
      </c>
      <c r="D39" s="42" t="n">
        <v>0</v>
      </c>
      <c r="E39" s="42" t="n">
        <v>0</v>
      </c>
      <c r="F39" s="42" t="n">
        <v>0</v>
      </c>
      <c r="G39" s="42" t="n">
        <v>0</v>
      </c>
      <c r="H39" s="42" t="n">
        <v>0</v>
      </c>
      <c r="I39" s="42" t="n">
        <v>0</v>
      </c>
      <c r="J39" s="42" t="n">
        <v>0</v>
      </c>
      <c r="K39" s="42" t="n">
        <v>0</v>
      </c>
      <c r="L39" s="42" t="n">
        <v>0</v>
      </c>
      <c r="M39" s="42" t="n">
        <v>0</v>
      </c>
      <c r="N39" s="43">
        <f>SUM(B39:M39)</f>
        <v/>
      </c>
      <c r="O39" s="43">
        <f>N39</f>
        <v/>
      </c>
      <c r="P39" s="43">
        <f>O39</f>
        <v/>
      </c>
    </row>
    <row r="40">
      <c r="A40" s="41" t="inlineStr">
        <is>
          <t xml:space="preserve">　　・ストレージ・その他SaaS（Dropbox 等）</t>
        </is>
      </c>
      <c r="B40" s="42" t="n">
        <v>0</v>
      </c>
      <c r="C40" s="42" t="n">
        <v>0</v>
      </c>
      <c r="D40" s="42" t="n">
        <v>0</v>
      </c>
      <c r="E40" s="42" t="n">
        <v>0</v>
      </c>
      <c r="F40" s="42" t="n">
        <v>0</v>
      </c>
      <c r="G40" s="42" t="n">
        <v>0</v>
      </c>
      <c r="H40" s="42" t="n">
        <v>0</v>
      </c>
      <c r="I40" s="42" t="n">
        <v>0</v>
      </c>
      <c r="J40" s="42" t="n">
        <v>0</v>
      </c>
      <c r="K40" s="42" t="n">
        <v>0</v>
      </c>
      <c r="L40" s="42" t="n">
        <v>0</v>
      </c>
      <c r="M40" s="42" t="n">
        <v>0</v>
      </c>
      <c r="N40" s="43">
        <f>SUM(B40:M40)</f>
        <v/>
      </c>
      <c r="O40" s="43">
        <f>N40</f>
        <v/>
      </c>
      <c r="P40" s="43">
        <f>O40</f>
        <v/>
      </c>
    </row>
    <row r="41">
      <c r="A41" s="41" t="inlineStr">
        <is>
          <t xml:space="preserve">　　・ITA IFS CORP（650USD/月・要特定）</t>
        </is>
      </c>
      <c r="B41" s="42" t="n">
        <v>0</v>
      </c>
      <c r="C41" s="42" t="n">
        <v>0</v>
      </c>
      <c r="D41" s="42" t="n">
        <v>0</v>
      </c>
      <c r="E41" s="42" t="n">
        <v>0</v>
      </c>
      <c r="F41" s="42" t="n">
        <v>0</v>
      </c>
      <c r="G41" s="42" t="n">
        <v>0</v>
      </c>
      <c r="H41" s="42" t="n">
        <v>0</v>
      </c>
      <c r="I41" s="42" t="n">
        <v>0</v>
      </c>
      <c r="J41" s="42" t="n">
        <v>0</v>
      </c>
      <c r="K41" s="42" t="n">
        <v>0</v>
      </c>
      <c r="L41" s="42" t="n">
        <v>0</v>
      </c>
      <c r="M41" s="42" t="n">
        <v>0</v>
      </c>
      <c r="N41" s="43">
        <f>SUM(B41:M41)</f>
        <v/>
      </c>
      <c r="O41" s="43">
        <f>N41</f>
        <v/>
      </c>
      <c r="P41" s="43">
        <f>O41</f>
        <v/>
      </c>
    </row>
    <row r="42">
      <c r="A42" s="44" t="inlineStr">
        <is>
          <t xml:space="preserve">　支払報酬料</t>
        </is>
      </c>
      <c r="B42" s="45">
        <f>SUM(B43:B44)</f>
        <v/>
      </c>
      <c r="C42" s="45">
        <f>SUM(C43:C44)</f>
        <v/>
      </c>
      <c r="D42" s="45">
        <f>SUM(D43:D44)</f>
        <v/>
      </c>
      <c r="E42" s="45">
        <f>SUM(E43:E44)</f>
        <v/>
      </c>
      <c r="F42" s="45">
        <f>SUM(F43:F44)</f>
        <v/>
      </c>
      <c r="G42" s="45">
        <f>SUM(G43:G44)</f>
        <v/>
      </c>
      <c r="H42" s="45">
        <f>SUM(H43:H44)</f>
        <v/>
      </c>
      <c r="I42" s="45">
        <f>SUM(I43:I44)</f>
        <v/>
      </c>
      <c r="J42" s="45">
        <f>SUM(J43:J44)</f>
        <v/>
      </c>
      <c r="K42" s="45">
        <f>SUM(K43:K44)</f>
        <v/>
      </c>
      <c r="L42" s="45">
        <f>SUM(L43:L44)</f>
        <v/>
      </c>
      <c r="M42" s="45">
        <f>SUM(M43:M44)</f>
        <v/>
      </c>
      <c r="N42" s="45">
        <f>SUM(B42:M42)</f>
        <v/>
      </c>
      <c r="O42" s="45">
        <f>N42</f>
        <v/>
      </c>
      <c r="P42" s="45">
        <f>O42</f>
        <v/>
      </c>
    </row>
    <row r="43">
      <c r="A43" s="41" t="inlineStr">
        <is>
          <t xml:space="preserve">　　・税理士・会計士</t>
        </is>
      </c>
      <c r="B43" s="42" t="n">
        <v>30000</v>
      </c>
      <c r="C43" s="42" t="n">
        <v>30000</v>
      </c>
      <c r="D43" s="42" t="n">
        <v>30000</v>
      </c>
      <c r="E43" s="42" t="n">
        <v>30000</v>
      </c>
      <c r="F43" s="42" t="n">
        <v>30000</v>
      </c>
      <c r="G43" s="42" t="n">
        <v>30000</v>
      </c>
      <c r="H43" s="42" t="n">
        <v>30000</v>
      </c>
      <c r="I43" s="42" t="n">
        <v>30000</v>
      </c>
      <c r="J43" s="42" t="n">
        <v>30000</v>
      </c>
      <c r="K43" s="42" t="n">
        <v>30000</v>
      </c>
      <c r="L43" s="42" t="n">
        <v>30000</v>
      </c>
      <c r="M43" s="42" t="n">
        <v>30000</v>
      </c>
      <c r="N43" s="43">
        <f>SUM(B43:M43)</f>
        <v/>
      </c>
      <c r="O43" s="43">
        <f>N43</f>
        <v/>
      </c>
      <c r="P43" s="43">
        <f>O43</f>
        <v/>
      </c>
    </row>
    <row r="44">
      <c r="A44" s="41" t="inlineStr">
        <is>
          <t xml:space="preserve">　　・その他士業（司法/社労/弁護等）</t>
        </is>
      </c>
      <c r="B44" s="42" t="n">
        <v>0</v>
      </c>
      <c r="C44" s="42" t="n">
        <v>0</v>
      </c>
      <c r="D44" s="42" t="n">
        <v>0</v>
      </c>
      <c r="E44" s="42" t="n">
        <v>0</v>
      </c>
      <c r="F44" s="42" t="n">
        <v>0</v>
      </c>
      <c r="G44" s="42" t="n">
        <v>0</v>
      </c>
      <c r="H44" s="42" t="n">
        <v>0</v>
      </c>
      <c r="I44" s="42" t="n">
        <v>0</v>
      </c>
      <c r="J44" s="42" t="n">
        <v>0</v>
      </c>
      <c r="K44" s="42" t="n">
        <v>0</v>
      </c>
      <c r="L44" s="42" t="n">
        <v>0</v>
      </c>
      <c r="M44" s="42" t="n">
        <v>0</v>
      </c>
      <c r="N44" s="43">
        <f>SUM(B44:M44)</f>
        <v/>
      </c>
      <c r="O44" s="43">
        <f>N44</f>
        <v/>
      </c>
      <c r="P44" s="43">
        <f>O44</f>
        <v/>
      </c>
    </row>
    <row r="45">
      <c r="A45" s="44" t="inlineStr">
        <is>
          <t xml:space="preserve">　地代家賃</t>
        </is>
      </c>
      <c r="B45" s="45">
        <f>SUM(B46:B49)</f>
        <v/>
      </c>
      <c r="C45" s="45">
        <f>SUM(C46:C49)</f>
        <v/>
      </c>
      <c r="D45" s="45">
        <f>SUM(D46:D49)</f>
        <v/>
      </c>
      <c r="E45" s="45">
        <f>SUM(E46:E49)</f>
        <v/>
      </c>
      <c r="F45" s="45">
        <f>SUM(F46:F49)</f>
        <v/>
      </c>
      <c r="G45" s="45">
        <f>SUM(G46:G49)</f>
        <v/>
      </c>
      <c r="H45" s="45">
        <f>SUM(H46:H49)</f>
        <v/>
      </c>
      <c r="I45" s="45">
        <f>SUM(I46:I49)</f>
        <v/>
      </c>
      <c r="J45" s="45">
        <f>SUM(J46:J49)</f>
        <v/>
      </c>
      <c r="K45" s="45">
        <f>SUM(K46:K49)</f>
        <v/>
      </c>
      <c r="L45" s="45">
        <f>SUM(L46:L49)</f>
        <v/>
      </c>
      <c r="M45" s="45">
        <f>SUM(M46:M49)</f>
        <v/>
      </c>
      <c r="N45" s="45">
        <f>SUM(B45:M45)</f>
        <v/>
      </c>
      <c r="O45" s="45">
        <f>N45</f>
        <v/>
      </c>
      <c r="P45" s="45">
        <f>O45</f>
        <v/>
      </c>
    </row>
    <row r="46">
      <c r="A46" s="41" t="inlineStr">
        <is>
          <t xml:space="preserve">　　・バーチャルオフィス（レゾナンス等）</t>
        </is>
      </c>
      <c r="B46" s="42" t="n">
        <v>0</v>
      </c>
      <c r="C46" s="42" t="n">
        <v>0</v>
      </c>
      <c r="D46" s="42" t="n">
        <v>0</v>
      </c>
      <c r="E46" s="42" t="n">
        <v>0</v>
      </c>
      <c r="F46" s="42" t="n">
        <v>0</v>
      </c>
      <c r="G46" s="42" t="n">
        <v>0</v>
      </c>
      <c r="H46" s="42" t="n">
        <v>0</v>
      </c>
      <c r="I46" s="42" t="n">
        <v>0</v>
      </c>
      <c r="J46" s="42" t="n">
        <v>0</v>
      </c>
      <c r="K46" s="42" t="n">
        <v>0</v>
      </c>
      <c r="L46" s="42" t="n">
        <v>0</v>
      </c>
      <c r="M46" s="42" t="n">
        <v>0</v>
      </c>
      <c r="N46" s="43">
        <f>SUM(B46:M46)</f>
        <v/>
      </c>
      <c r="O46" s="43">
        <f>N46</f>
        <v/>
      </c>
      <c r="P46" s="43">
        <f>O46</f>
        <v/>
      </c>
    </row>
    <row r="47">
      <c r="A47" s="41" t="inlineStr">
        <is>
          <t xml:space="preserve">　　・コワーキング月額（BIZ SPOT/IIOFFICE）</t>
        </is>
      </c>
      <c r="B47" s="42" t="n">
        <v>0</v>
      </c>
      <c r="C47" s="42" t="n">
        <v>0</v>
      </c>
      <c r="D47" s="42" t="n">
        <v>0</v>
      </c>
      <c r="E47" s="42" t="n">
        <v>0</v>
      </c>
      <c r="F47" s="42" t="n">
        <v>0</v>
      </c>
      <c r="G47" s="42" t="n">
        <v>0</v>
      </c>
      <c r="H47" s="42" t="n">
        <v>0</v>
      </c>
      <c r="I47" s="42" t="n">
        <v>0</v>
      </c>
      <c r="J47" s="42" t="n">
        <v>0</v>
      </c>
      <c r="K47" s="42" t="n">
        <v>0</v>
      </c>
      <c r="L47" s="42" t="n">
        <v>0</v>
      </c>
      <c r="M47" s="42" t="n">
        <v>0</v>
      </c>
      <c r="N47" s="43">
        <f>SUM(B47:M47)</f>
        <v/>
      </c>
      <c r="O47" s="43">
        <f>N47</f>
        <v/>
      </c>
      <c r="P47" s="43">
        <f>O47</f>
        <v/>
      </c>
    </row>
    <row r="48">
      <c r="A48" s="41" t="inlineStr">
        <is>
          <t xml:space="preserve">　　・自宅事務所按分</t>
        </is>
      </c>
      <c r="B48" s="42" t="n">
        <v>0</v>
      </c>
      <c r="C48" s="42" t="n">
        <v>0</v>
      </c>
      <c r="D48" s="42" t="n">
        <v>0</v>
      </c>
      <c r="E48" s="42" t="n">
        <v>0</v>
      </c>
      <c r="F48" s="42" t="n">
        <v>0</v>
      </c>
      <c r="G48" s="42" t="n">
        <v>0</v>
      </c>
      <c r="H48" s="42" t="n">
        <v>0</v>
      </c>
      <c r="I48" s="42" t="n">
        <v>0</v>
      </c>
      <c r="J48" s="42" t="n">
        <v>0</v>
      </c>
      <c r="K48" s="42" t="n">
        <v>0</v>
      </c>
      <c r="L48" s="42" t="n">
        <v>0</v>
      </c>
      <c r="M48" s="42" t="n">
        <v>0</v>
      </c>
      <c r="N48" s="43">
        <f>SUM(B48:M48)</f>
        <v/>
      </c>
      <c r="O48" s="43">
        <f>N48</f>
        <v/>
      </c>
      <c r="P48" s="43">
        <f>O48</f>
        <v/>
      </c>
    </row>
    <row r="49">
      <c r="A49" s="41" t="inlineStr">
        <is>
          <t xml:space="preserve">　　・役員社宅 純額（採用時・VO等と二択／要決定）</t>
        </is>
      </c>
      <c r="B49" s="42" t="n">
        <v>150000</v>
      </c>
      <c r="C49" s="42" t="n">
        <v>150000</v>
      </c>
      <c r="D49" s="42" t="n">
        <v>150000</v>
      </c>
      <c r="E49" s="42" t="n">
        <v>150000</v>
      </c>
      <c r="F49" s="42" t="n">
        <v>150000</v>
      </c>
      <c r="G49" s="42" t="n">
        <v>150000</v>
      </c>
      <c r="H49" s="42" t="n">
        <v>150000</v>
      </c>
      <c r="I49" s="42" t="n">
        <v>150000</v>
      </c>
      <c r="J49" s="42" t="n">
        <v>150000</v>
      </c>
      <c r="K49" s="42" t="n">
        <v>150000</v>
      </c>
      <c r="L49" s="42" t="n">
        <v>150000</v>
      </c>
      <c r="M49" s="42" t="n">
        <v>150000</v>
      </c>
      <c r="N49" s="43">
        <f>SUM(B49:M49)</f>
        <v/>
      </c>
      <c r="O49" s="43">
        <f>N49</f>
        <v/>
      </c>
      <c r="P49" s="43">
        <f>O49</f>
        <v/>
      </c>
    </row>
    <row r="50">
      <c r="A50" s="44" t="inlineStr">
        <is>
          <t xml:space="preserve">　水道光熱費</t>
        </is>
      </c>
      <c r="B50" s="45">
        <f>SUM(B51:B52)</f>
        <v/>
      </c>
      <c r="C50" s="45">
        <f>SUM(C51:C52)</f>
        <v/>
      </c>
      <c r="D50" s="45">
        <f>SUM(D51:D52)</f>
        <v/>
      </c>
      <c r="E50" s="45">
        <f>SUM(E51:E52)</f>
        <v/>
      </c>
      <c r="F50" s="45">
        <f>SUM(F51:F52)</f>
        <v/>
      </c>
      <c r="G50" s="45">
        <f>SUM(G51:G52)</f>
        <v/>
      </c>
      <c r="H50" s="45">
        <f>SUM(H51:H52)</f>
        <v/>
      </c>
      <c r="I50" s="45">
        <f>SUM(I51:I52)</f>
        <v/>
      </c>
      <c r="J50" s="45">
        <f>SUM(J51:J52)</f>
        <v/>
      </c>
      <c r="K50" s="45">
        <f>SUM(K51:K52)</f>
        <v/>
      </c>
      <c r="L50" s="45">
        <f>SUM(L51:L52)</f>
        <v/>
      </c>
      <c r="M50" s="45">
        <f>SUM(M51:M52)</f>
        <v/>
      </c>
      <c r="N50" s="45">
        <f>SUM(B50:M50)</f>
        <v/>
      </c>
      <c r="O50" s="45">
        <f>N50</f>
        <v/>
      </c>
      <c r="P50" s="45">
        <f>O50</f>
        <v/>
      </c>
    </row>
    <row r="51">
      <c r="A51" s="41" t="inlineStr">
        <is>
          <t xml:space="preserve">　　・電気（CDエナジー等）</t>
        </is>
      </c>
      <c r="B51" s="42" t="n">
        <v>0</v>
      </c>
      <c r="C51" s="42" t="n">
        <v>0</v>
      </c>
      <c r="D51" s="42" t="n">
        <v>0</v>
      </c>
      <c r="E51" s="42" t="n">
        <v>0</v>
      </c>
      <c r="F51" s="42" t="n">
        <v>0</v>
      </c>
      <c r="G51" s="42" t="n">
        <v>0</v>
      </c>
      <c r="H51" s="42" t="n">
        <v>0</v>
      </c>
      <c r="I51" s="42" t="n">
        <v>0</v>
      </c>
      <c r="J51" s="42" t="n">
        <v>0</v>
      </c>
      <c r="K51" s="42" t="n">
        <v>0</v>
      </c>
      <c r="L51" s="42" t="n">
        <v>0</v>
      </c>
      <c r="M51" s="42" t="n">
        <v>0</v>
      </c>
      <c r="N51" s="43">
        <f>SUM(B51:M51)</f>
        <v/>
      </c>
      <c r="O51" s="43">
        <f>N51</f>
        <v/>
      </c>
      <c r="P51" s="43">
        <f>O51</f>
        <v/>
      </c>
    </row>
    <row r="52">
      <c r="A52" s="41" t="inlineStr">
        <is>
          <t xml:space="preserve">　　・水道・ガス</t>
        </is>
      </c>
      <c r="B52" s="42" t="n">
        <v>0</v>
      </c>
      <c r="C52" s="42" t="n">
        <v>0</v>
      </c>
      <c r="D52" s="42" t="n">
        <v>0</v>
      </c>
      <c r="E52" s="42" t="n">
        <v>0</v>
      </c>
      <c r="F52" s="42" t="n">
        <v>0</v>
      </c>
      <c r="G52" s="42" t="n">
        <v>0</v>
      </c>
      <c r="H52" s="42" t="n">
        <v>0</v>
      </c>
      <c r="I52" s="42" t="n">
        <v>0</v>
      </c>
      <c r="J52" s="42" t="n">
        <v>0</v>
      </c>
      <c r="K52" s="42" t="n">
        <v>0</v>
      </c>
      <c r="L52" s="42" t="n">
        <v>0</v>
      </c>
      <c r="M52" s="42" t="n">
        <v>0</v>
      </c>
      <c r="N52" s="43">
        <f>SUM(B52:M52)</f>
        <v/>
      </c>
      <c r="O52" s="43">
        <f>N52</f>
        <v/>
      </c>
      <c r="P52" s="43">
        <f>O52</f>
        <v/>
      </c>
    </row>
    <row r="53">
      <c r="A53" s="41" t="inlineStr">
        <is>
          <t xml:space="preserve">　新聞図書費（書籍・有料情報）</t>
        </is>
      </c>
      <c r="B53" s="42" t="n">
        <v>0</v>
      </c>
      <c r="C53" s="42" t="n">
        <v>0</v>
      </c>
      <c r="D53" s="42" t="n">
        <v>0</v>
      </c>
      <c r="E53" s="42" t="n">
        <v>0</v>
      </c>
      <c r="F53" s="42" t="n">
        <v>0</v>
      </c>
      <c r="G53" s="42" t="n">
        <v>0</v>
      </c>
      <c r="H53" s="42" t="n">
        <v>0</v>
      </c>
      <c r="I53" s="42" t="n">
        <v>0</v>
      </c>
      <c r="J53" s="42" t="n">
        <v>0</v>
      </c>
      <c r="K53" s="42" t="n">
        <v>0</v>
      </c>
      <c r="L53" s="42" t="n">
        <v>0</v>
      </c>
      <c r="M53" s="42" t="n">
        <v>0</v>
      </c>
      <c r="N53" s="43">
        <f>SUM(B53:M53)</f>
        <v/>
      </c>
      <c r="O53" s="43">
        <f>N53</f>
        <v/>
      </c>
      <c r="P53" s="43">
        <f>O53</f>
        <v/>
      </c>
    </row>
    <row r="54">
      <c r="A54" s="44" t="inlineStr">
        <is>
          <t xml:space="preserve">　消耗品費</t>
        </is>
      </c>
      <c r="B54" s="45">
        <f>SUM(B55:B56)</f>
        <v/>
      </c>
      <c r="C54" s="45">
        <f>SUM(C55:C56)</f>
        <v/>
      </c>
      <c r="D54" s="45">
        <f>SUM(D55:D56)</f>
        <v/>
      </c>
      <c r="E54" s="45">
        <f>SUM(E55:E56)</f>
        <v/>
      </c>
      <c r="F54" s="45">
        <f>SUM(F55:F56)</f>
        <v/>
      </c>
      <c r="G54" s="45">
        <f>SUM(G55:G56)</f>
        <v/>
      </c>
      <c r="H54" s="45">
        <f>SUM(H55:H56)</f>
        <v/>
      </c>
      <c r="I54" s="45">
        <f>SUM(I55:I56)</f>
        <v/>
      </c>
      <c r="J54" s="45">
        <f>SUM(J55:J56)</f>
        <v/>
      </c>
      <c r="K54" s="45">
        <f>SUM(K55:K56)</f>
        <v/>
      </c>
      <c r="L54" s="45">
        <f>SUM(L55:L56)</f>
        <v/>
      </c>
      <c r="M54" s="45">
        <f>SUM(M55:M56)</f>
        <v/>
      </c>
      <c r="N54" s="45">
        <f>SUM(B54:M54)</f>
        <v/>
      </c>
      <c r="O54" s="45">
        <f>N54</f>
        <v/>
      </c>
      <c r="P54" s="45">
        <f>O54</f>
        <v/>
      </c>
    </row>
    <row r="55">
      <c r="A55" s="41" t="inlineStr">
        <is>
          <t xml:space="preserve">　　・事務用品</t>
        </is>
      </c>
      <c r="B55" s="42" t="n">
        <v>5000</v>
      </c>
      <c r="C55" s="42" t="n">
        <v>5000</v>
      </c>
      <c r="D55" s="42" t="n">
        <v>5000</v>
      </c>
      <c r="E55" s="42" t="n">
        <v>5000</v>
      </c>
      <c r="F55" s="42" t="n">
        <v>5000</v>
      </c>
      <c r="G55" s="42" t="n">
        <v>5000</v>
      </c>
      <c r="H55" s="42" t="n">
        <v>5000</v>
      </c>
      <c r="I55" s="42" t="n">
        <v>5000</v>
      </c>
      <c r="J55" s="42" t="n">
        <v>5000</v>
      </c>
      <c r="K55" s="42" t="n">
        <v>5000</v>
      </c>
      <c r="L55" s="42" t="n">
        <v>5000</v>
      </c>
      <c r="M55" s="42" t="n">
        <v>5000</v>
      </c>
      <c r="N55" s="43">
        <f>SUM(B55:M55)</f>
        <v/>
      </c>
      <c r="O55" s="43">
        <f>N55</f>
        <v/>
      </c>
      <c r="P55" s="43">
        <f>O55</f>
        <v/>
      </c>
    </row>
    <row r="56">
      <c r="A56" s="41" t="inlineStr">
        <is>
          <t xml:space="preserve">　　・PC周辺・少額機器（10万未満）</t>
        </is>
      </c>
      <c r="B56" s="42" t="n">
        <v>0</v>
      </c>
      <c r="C56" s="42" t="n">
        <v>0</v>
      </c>
      <c r="D56" s="42" t="n">
        <v>0</v>
      </c>
      <c r="E56" s="42" t="n">
        <v>0</v>
      </c>
      <c r="F56" s="42" t="n">
        <v>0</v>
      </c>
      <c r="G56" s="42" t="n">
        <v>0</v>
      </c>
      <c r="H56" s="42" t="n">
        <v>0</v>
      </c>
      <c r="I56" s="42" t="n">
        <v>0</v>
      </c>
      <c r="J56" s="42" t="n">
        <v>0</v>
      </c>
      <c r="K56" s="42" t="n">
        <v>0</v>
      </c>
      <c r="L56" s="42" t="n">
        <v>0</v>
      </c>
      <c r="M56" s="42" t="n">
        <v>0</v>
      </c>
      <c r="N56" s="43">
        <f>SUM(B56:M56)</f>
        <v/>
      </c>
      <c r="O56" s="43">
        <f>N56</f>
        <v/>
      </c>
      <c r="P56" s="43">
        <f>O56</f>
        <v/>
      </c>
    </row>
    <row r="57">
      <c r="A57" s="41" t="inlineStr">
        <is>
          <t xml:space="preserve">　諸会費（同業団体等）</t>
        </is>
      </c>
      <c r="B57" s="42" t="n">
        <v>0</v>
      </c>
      <c r="C57" s="42" t="n">
        <v>0</v>
      </c>
      <c r="D57" s="42" t="n">
        <v>0</v>
      </c>
      <c r="E57" s="42" t="n">
        <v>0</v>
      </c>
      <c r="F57" s="42" t="n">
        <v>0</v>
      </c>
      <c r="G57" s="42" t="n">
        <v>0</v>
      </c>
      <c r="H57" s="42" t="n">
        <v>0</v>
      </c>
      <c r="I57" s="42" t="n">
        <v>0</v>
      </c>
      <c r="J57" s="42" t="n">
        <v>0</v>
      </c>
      <c r="K57" s="42" t="n">
        <v>0</v>
      </c>
      <c r="L57" s="42" t="n">
        <v>0</v>
      </c>
      <c r="M57" s="42" t="n">
        <v>0</v>
      </c>
      <c r="N57" s="43">
        <f>SUM(B57:M57)</f>
        <v/>
      </c>
      <c r="O57" s="43">
        <f>N57</f>
        <v/>
      </c>
      <c r="P57" s="43">
        <f>O57</f>
        <v/>
      </c>
    </row>
    <row r="58">
      <c r="A58" s="41" t="inlineStr">
        <is>
          <t xml:space="preserve">　租税公課（印紙/登録免許税/消費税納付）</t>
        </is>
      </c>
      <c r="B58" s="42" t="n">
        <v>0</v>
      </c>
      <c r="C58" s="42" t="n">
        <v>0</v>
      </c>
      <c r="D58" s="42" t="n">
        <v>0</v>
      </c>
      <c r="E58" s="42" t="n">
        <v>0</v>
      </c>
      <c r="F58" s="42" t="n">
        <v>0</v>
      </c>
      <c r="G58" s="42" t="n">
        <v>0</v>
      </c>
      <c r="H58" s="42" t="n">
        <v>0</v>
      </c>
      <c r="I58" s="42" t="n">
        <v>0</v>
      </c>
      <c r="J58" s="42" t="n">
        <v>0</v>
      </c>
      <c r="K58" s="42" t="n">
        <v>0</v>
      </c>
      <c r="L58" s="42" t="n">
        <v>0</v>
      </c>
      <c r="M58" s="42" t="n">
        <v>0</v>
      </c>
      <c r="N58" s="43">
        <f>SUM(B58:M58)</f>
        <v/>
      </c>
      <c r="O58" s="43">
        <f>N58</f>
        <v/>
      </c>
      <c r="P58" s="43">
        <f>O58</f>
        <v/>
      </c>
    </row>
    <row r="59">
      <c r="A59" s="41" t="inlineStr">
        <is>
          <t xml:space="preserve">　減価償却費（固定資産）</t>
        </is>
      </c>
      <c r="B59" s="42" t="n">
        <v>0</v>
      </c>
      <c r="C59" s="42" t="n">
        <v>0</v>
      </c>
      <c r="D59" s="42" t="n">
        <v>0</v>
      </c>
      <c r="E59" s="42" t="n">
        <v>0</v>
      </c>
      <c r="F59" s="42" t="n">
        <v>0</v>
      </c>
      <c r="G59" s="42" t="n">
        <v>0</v>
      </c>
      <c r="H59" s="42" t="n">
        <v>0</v>
      </c>
      <c r="I59" s="42" t="n">
        <v>0</v>
      </c>
      <c r="J59" s="42" t="n">
        <v>0</v>
      </c>
      <c r="K59" s="42" t="n">
        <v>0</v>
      </c>
      <c r="L59" s="42" t="n">
        <v>0</v>
      </c>
      <c r="M59" s="42" t="n">
        <v>0</v>
      </c>
      <c r="N59" s="43">
        <f>SUM(B59:M59)</f>
        <v/>
      </c>
      <c r="O59" s="43">
        <f>N59</f>
        <v/>
      </c>
      <c r="P59" s="43">
        <f>O59</f>
        <v/>
      </c>
    </row>
    <row r="60">
      <c r="A60" s="41" t="inlineStr">
        <is>
          <t xml:space="preserve">　雑費（原則不使用）</t>
        </is>
      </c>
      <c r="B60" s="42" t="n">
        <v>0</v>
      </c>
      <c r="C60" s="42" t="n">
        <v>0</v>
      </c>
      <c r="D60" s="42" t="n">
        <v>0</v>
      </c>
      <c r="E60" s="42" t="n">
        <v>0</v>
      </c>
      <c r="F60" s="42" t="n">
        <v>0</v>
      </c>
      <c r="G60" s="42" t="n">
        <v>0</v>
      </c>
      <c r="H60" s="42" t="n">
        <v>0</v>
      </c>
      <c r="I60" s="42" t="n">
        <v>0</v>
      </c>
      <c r="J60" s="42" t="n">
        <v>0</v>
      </c>
      <c r="K60" s="42" t="n">
        <v>0</v>
      </c>
      <c r="L60" s="42" t="n">
        <v>0</v>
      </c>
      <c r="M60" s="42" t="n">
        <v>0</v>
      </c>
      <c r="N60" s="43">
        <f>SUM(B60:M60)</f>
        <v/>
      </c>
      <c r="O60" s="43">
        <f>N60</f>
        <v/>
      </c>
      <c r="P60" s="43">
        <f>O60</f>
        <v/>
      </c>
    </row>
    <row r="61">
      <c r="A61" s="44" t="inlineStr">
        <is>
          <t xml:space="preserve">　一般管理費 小計</t>
        </is>
      </c>
      <c r="B61" s="45">
        <f>B24+B25+B26+B27+B28+B32+B36+B42+B45+B50+B53+B54+B57+B58+B59+B60</f>
        <v/>
      </c>
      <c r="C61" s="45">
        <f>C24+C25+C26+C27+C28+C32+C36+C42+C45+C50+C53+C54+C57+C58+C59+C60</f>
        <v/>
      </c>
      <c r="D61" s="45">
        <f>D24+D25+D26+D27+D28+D32+D36+D42+D45+D50+D53+D54+D57+D58+D59+D60</f>
        <v/>
      </c>
      <c r="E61" s="45">
        <f>E24+E25+E26+E27+E28+E32+E36+E42+E45+E50+E53+E54+E57+E58+E59+E60</f>
        <v/>
      </c>
      <c r="F61" s="45">
        <f>F24+F25+F26+F27+F28+F32+F36+F42+F45+F50+F53+F54+F57+F58+F59+F60</f>
        <v/>
      </c>
      <c r="G61" s="45">
        <f>G24+G25+G26+G27+G28+G32+G36+G42+G45+G50+G53+G54+G57+G58+G59+G60</f>
        <v/>
      </c>
      <c r="H61" s="45">
        <f>H24+H25+H26+H27+H28+H32+H36+H42+H45+H50+H53+H54+H57+H58+H59+H60</f>
        <v/>
      </c>
      <c r="I61" s="45">
        <f>I24+I25+I26+I27+I28+I32+I36+I42+I45+I50+I53+I54+I57+I58+I59+I60</f>
        <v/>
      </c>
      <c r="J61" s="45">
        <f>J24+J25+J26+J27+J28+J32+J36+J42+J45+J50+J53+J54+J57+J58+J59+J60</f>
        <v/>
      </c>
      <c r="K61" s="45">
        <f>K24+K25+K26+K27+K28+K32+K36+K42+K45+K50+K53+K54+K57+K58+K59+K60</f>
        <v/>
      </c>
      <c r="L61" s="45">
        <f>L24+L25+L26+L27+L28+L32+L36+L42+L45+L50+L53+L54+L57+L58+L59+L60</f>
        <v/>
      </c>
      <c r="M61" s="45">
        <f>M24+M25+M26+M27+M28+M32+M36+M42+M45+M50+M53+M54+M57+M58+M59+M60</f>
        <v/>
      </c>
      <c r="N61" s="45">
        <f>N24+N25+N26+N27+N28+N32+N36+N42+N45+N50+N53+N54+N57+N58+N59+N60</f>
        <v/>
      </c>
      <c r="O61" s="45">
        <f>O24+O25+O26+O27+O28+O32+O36+O42+O45+O50+O53+O54+O57+O58+O59+O60</f>
        <v/>
      </c>
      <c r="P61" s="45">
        <f>P24+P25+P26+P27+P28+P32+P36+P42+P45+P50+P53+P54+P57+P58+P59+P60</f>
        <v/>
      </c>
    </row>
    <row r="62">
      <c r="A62" s="36" t="inlineStr">
        <is>
          <t>【販管費の部 — 販売費】</t>
        </is>
      </c>
      <c r="B62" s="38" t="n"/>
      <c r="C62" s="38" t="n"/>
      <c r="D62" s="38" t="n"/>
      <c r="E62" s="38" t="n"/>
      <c r="F62" s="38" t="n"/>
      <c r="G62" s="38" t="n"/>
      <c r="H62" s="38" t="n"/>
      <c r="I62" s="38" t="n"/>
      <c r="J62" s="38" t="n"/>
      <c r="K62" s="38" t="n"/>
      <c r="L62" s="38" t="n"/>
      <c r="M62" s="38" t="n"/>
      <c r="N62" s="38" t="n"/>
      <c r="O62" s="38" t="n"/>
      <c r="P62" s="38" t="n"/>
    </row>
    <row r="63">
      <c r="A63" s="41" t="inlineStr">
        <is>
          <t xml:space="preserve">　広告宣伝費（登壇/発信/印刷物）</t>
        </is>
      </c>
      <c r="B63" s="42" t="n">
        <v>0</v>
      </c>
      <c r="C63" s="42" t="n">
        <v>0</v>
      </c>
      <c r="D63" s="42" t="n">
        <v>0</v>
      </c>
      <c r="E63" s="42" t="n">
        <v>0</v>
      </c>
      <c r="F63" s="42" t="n">
        <v>0</v>
      </c>
      <c r="G63" s="42" t="n">
        <v>0</v>
      </c>
      <c r="H63" s="42" t="n">
        <v>0</v>
      </c>
      <c r="I63" s="42" t="n">
        <v>0</v>
      </c>
      <c r="J63" s="42" t="n">
        <v>0</v>
      </c>
      <c r="K63" s="42" t="n">
        <v>0</v>
      </c>
      <c r="L63" s="42" t="n">
        <v>0</v>
      </c>
      <c r="M63" s="42" t="n">
        <v>0</v>
      </c>
      <c r="N63" s="43">
        <f>SUM(B63:M63)</f>
        <v/>
      </c>
      <c r="O63" s="43">
        <f>N63</f>
        <v/>
      </c>
      <c r="P63" s="43">
        <f>O63</f>
        <v/>
      </c>
    </row>
    <row r="64">
      <c r="A64" s="44" t="inlineStr">
        <is>
          <t xml:space="preserve">　旅費交通費</t>
        </is>
      </c>
      <c r="B64" s="45">
        <f>SUM(B65:B69)</f>
        <v/>
      </c>
      <c r="C64" s="45">
        <f>SUM(C65:C69)</f>
        <v/>
      </c>
      <c r="D64" s="45">
        <f>SUM(D65:D69)</f>
        <v/>
      </c>
      <c r="E64" s="45">
        <f>SUM(E65:E69)</f>
        <v/>
      </c>
      <c r="F64" s="45">
        <f>SUM(F65:F69)</f>
        <v/>
      </c>
      <c r="G64" s="45">
        <f>SUM(G65:G69)</f>
        <v/>
      </c>
      <c r="H64" s="45">
        <f>SUM(H65:H69)</f>
        <v/>
      </c>
      <c r="I64" s="45">
        <f>SUM(I65:I69)</f>
        <v/>
      </c>
      <c r="J64" s="45">
        <f>SUM(J65:J69)</f>
        <v/>
      </c>
      <c r="K64" s="45">
        <f>SUM(K65:K69)</f>
        <v/>
      </c>
      <c r="L64" s="45">
        <f>SUM(L65:L69)</f>
        <v/>
      </c>
      <c r="M64" s="45">
        <f>SUM(M65:M69)</f>
        <v/>
      </c>
      <c r="N64" s="45">
        <f>SUM(B64:M64)</f>
        <v/>
      </c>
      <c r="O64" s="45">
        <f>N64</f>
        <v/>
      </c>
      <c r="P64" s="45">
        <f>O64</f>
        <v/>
      </c>
    </row>
    <row r="65">
      <c r="A65" s="41" t="inlineStr">
        <is>
          <t xml:space="preserve">　　・電車・新幹線（えきねっと/スマートEX/Suica）</t>
        </is>
      </c>
      <c r="B65" s="42" t="n">
        <v>0</v>
      </c>
      <c r="C65" s="42" t="n">
        <v>0</v>
      </c>
      <c r="D65" s="42" t="n">
        <v>0</v>
      </c>
      <c r="E65" s="42" t="n">
        <v>0</v>
      </c>
      <c r="F65" s="42" t="n">
        <v>0</v>
      </c>
      <c r="G65" s="42" t="n">
        <v>0</v>
      </c>
      <c r="H65" s="42" t="n">
        <v>0</v>
      </c>
      <c r="I65" s="42" t="n">
        <v>0</v>
      </c>
      <c r="J65" s="42" t="n">
        <v>0</v>
      </c>
      <c r="K65" s="42" t="n">
        <v>0</v>
      </c>
      <c r="L65" s="42" t="n">
        <v>0</v>
      </c>
      <c r="M65" s="42" t="n">
        <v>0</v>
      </c>
      <c r="N65" s="43">
        <f>SUM(B65:M65)</f>
        <v/>
      </c>
      <c r="O65" s="43">
        <f>N65</f>
        <v/>
      </c>
      <c r="P65" s="43">
        <f>O65</f>
        <v/>
      </c>
    </row>
    <row r="66">
      <c r="A66" s="41" t="inlineStr">
        <is>
          <t xml:space="preserve">　　・タクシー・配車（UBER/GO）</t>
        </is>
      </c>
      <c r="B66" s="42" t="n">
        <v>0</v>
      </c>
      <c r="C66" s="42" t="n">
        <v>0</v>
      </c>
      <c r="D66" s="42" t="n">
        <v>0</v>
      </c>
      <c r="E66" s="42" t="n">
        <v>0</v>
      </c>
      <c r="F66" s="42" t="n">
        <v>0</v>
      </c>
      <c r="G66" s="42" t="n">
        <v>0</v>
      </c>
      <c r="H66" s="42" t="n">
        <v>0</v>
      </c>
      <c r="I66" s="42" t="n">
        <v>0</v>
      </c>
      <c r="J66" s="42" t="n">
        <v>0</v>
      </c>
      <c r="K66" s="42" t="n">
        <v>0</v>
      </c>
      <c r="L66" s="42" t="n">
        <v>0</v>
      </c>
      <c r="M66" s="42" t="n">
        <v>0</v>
      </c>
      <c r="N66" s="43">
        <f>SUM(B66:M66)</f>
        <v/>
      </c>
      <c r="O66" s="43">
        <f>N66</f>
        <v/>
      </c>
      <c r="P66" s="43">
        <f>O66</f>
        <v/>
      </c>
    </row>
    <row r="67">
      <c r="A67" s="41" t="inlineStr">
        <is>
          <t xml:space="preserve">　　・シェアサイクル（LUUP）</t>
        </is>
      </c>
      <c r="B67" s="42" t="n">
        <v>0</v>
      </c>
      <c r="C67" s="42" t="n">
        <v>0</v>
      </c>
      <c r="D67" s="42" t="n">
        <v>0</v>
      </c>
      <c r="E67" s="42" t="n">
        <v>0</v>
      </c>
      <c r="F67" s="42" t="n">
        <v>0</v>
      </c>
      <c r="G67" s="42" t="n">
        <v>0</v>
      </c>
      <c r="H67" s="42" t="n">
        <v>0</v>
      </c>
      <c r="I67" s="42" t="n">
        <v>0</v>
      </c>
      <c r="J67" s="42" t="n">
        <v>0</v>
      </c>
      <c r="K67" s="42" t="n">
        <v>0</v>
      </c>
      <c r="L67" s="42" t="n">
        <v>0</v>
      </c>
      <c r="M67" s="42" t="n">
        <v>0</v>
      </c>
      <c r="N67" s="43">
        <f>SUM(B67:M67)</f>
        <v/>
      </c>
      <c r="O67" s="43">
        <f>N67</f>
        <v/>
      </c>
      <c r="P67" s="43">
        <f>O67</f>
        <v/>
      </c>
    </row>
    <row r="68">
      <c r="A68" s="41" t="inlineStr">
        <is>
          <t xml:space="preserve">　　・宿泊費（出張）</t>
        </is>
      </c>
      <c r="B68" s="42" t="n">
        <v>0</v>
      </c>
      <c r="C68" s="42" t="n">
        <v>0</v>
      </c>
      <c r="D68" s="42" t="n">
        <v>0</v>
      </c>
      <c r="E68" s="42" t="n">
        <v>0</v>
      </c>
      <c r="F68" s="42" t="n">
        <v>0</v>
      </c>
      <c r="G68" s="42" t="n">
        <v>0</v>
      </c>
      <c r="H68" s="42" t="n">
        <v>0</v>
      </c>
      <c r="I68" s="42" t="n">
        <v>0</v>
      </c>
      <c r="J68" s="42" t="n">
        <v>0</v>
      </c>
      <c r="K68" s="42" t="n">
        <v>0</v>
      </c>
      <c r="L68" s="42" t="n">
        <v>0</v>
      </c>
      <c r="M68" s="42" t="n">
        <v>0</v>
      </c>
      <c r="N68" s="43">
        <f>SUM(B68:M68)</f>
        <v/>
      </c>
      <c r="O68" s="43">
        <f>N68</f>
        <v/>
      </c>
      <c r="P68" s="43">
        <f>O68</f>
        <v/>
      </c>
    </row>
    <row r="69">
      <c r="A69" s="41" t="inlineStr">
        <is>
          <t xml:space="preserve">　　・レンタカー・その他</t>
        </is>
      </c>
      <c r="B69" s="42" t="n">
        <v>0</v>
      </c>
      <c r="C69" s="42" t="n">
        <v>0</v>
      </c>
      <c r="D69" s="42" t="n">
        <v>0</v>
      </c>
      <c r="E69" s="42" t="n">
        <v>0</v>
      </c>
      <c r="F69" s="42" t="n">
        <v>0</v>
      </c>
      <c r="G69" s="42" t="n">
        <v>0</v>
      </c>
      <c r="H69" s="42" t="n">
        <v>0</v>
      </c>
      <c r="I69" s="42" t="n">
        <v>0</v>
      </c>
      <c r="J69" s="42" t="n">
        <v>0</v>
      </c>
      <c r="K69" s="42" t="n">
        <v>0</v>
      </c>
      <c r="L69" s="42" t="n">
        <v>0</v>
      </c>
      <c r="M69" s="42" t="n">
        <v>0</v>
      </c>
      <c r="N69" s="43">
        <f>SUM(B69:M69)</f>
        <v/>
      </c>
      <c r="O69" s="43">
        <f>N69</f>
        <v/>
      </c>
      <c r="P69" s="43">
        <f>O69</f>
        <v/>
      </c>
    </row>
    <row r="70">
      <c r="A70" s="44" t="inlineStr">
        <is>
          <t xml:space="preserve">　会議費</t>
        </is>
      </c>
      <c r="B70" s="45">
        <f>SUM(B71:B72)</f>
        <v/>
      </c>
      <c r="C70" s="45">
        <f>SUM(C71:C72)</f>
        <v/>
      </c>
      <c r="D70" s="45">
        <f>SUM(D71:D72)</f>
        <v/>
      </c>
      <c r="E70" s="45">
        <f>SUM(E71:E72)</f>
        <v/>
      </c>
      <c r="F70" s="45">
        <f>SUM(F71:F72)</f>
        <v/>
      </c>
      <c r="G70" s="45">
        <f>SUM(G71:G72)</f>
        <v/>
      </c>
      <c r="H70" s="45">
        <f>SUM(H71:H72)</f>
        <v/>
      </c>
      <c r="I70" s="45">
        <f>SUM(I71:I72)</f>
        <v/>
      </c>
      <c r="J70" s="45">
        <f>SUM(J71:J72)</f>
        <v/>
      </c>
      <c r="K70" s="45">
        <f>SUM(K71:K72)</f>
        <v/>
      </c>
      <c r="L70" s="45">
        <f>SUM(L71:L72)</f>
        <v/>
      </c>
      <c r="M70" s="45">
        <f>SUM(M71:M72)</f>
        <v/>
      </c>
      <c r="N70" s="45">
        <f>SUM(B70:M70)</f>
        <v/>
      </c>
      <c r="O70" s="45">
        <f>N70</f>
        <v/>
      </c>
      <c r="P70" s="45">
        <f>O70</f>
        <v/>
      </c>
    </row>
    <row r="71">
      <c r="A71" s="41" t="inlineStr">
        <is>
          <t xml:space="preserve">　　・打合せ飲食（1人1万円以下）</t>
        </is>
      </c>
      <c r="B71" s="42" t="n">
        <v>0</v>
      </c>
      <c r="C71" s="42" t="n">
        <v>0</v>
      </c>
      <c r="D71" s="42" t="n">
        <v>0</v>
      </c>
      <c r="E71" s="42" t="n">
        <v>0</v>
      </c>
      <c r="F71" s="42" t="n">
        <v>0</v>
      </c>
      <c r="G71" s="42" t="n">
        <v>0</v>
      </c>
      <c r="H71" s="42" t="n">
        <v>0</v>
      </c>
      <c r="I71" s="42" t="n">
        <v>0</v>
      </c>
      <c r="J71" s="42" t="n">
        <v>0</v>
      </c>
      <c r="K71" s="42" t="n">
        <v>0</v>
      </c>
      <c r="L71" s="42" t="n">
        <v>0</v>
      </c>
      <c r="M71" s="42" t="n">
        <v>0</v>
      </c>
      <c r="N71" s="43">
        <f>SUM(B71:M71)</f>
        <v/>
      </c>
      <c r="O71" s="43">
        <f>N71</f>
        <v/>
      </c>
      <c r="P71" s="43">
        <f>O71</f>
        <v/>
      </c>
    </row>
    <row r="72">
      <c r="A72" s="41" t="inlineStr">
        <is>
          <t xml:space="preserve">　　・会場・スペース利用（都度）</t>
        </is>
      </c>
      <c r="B72" s="42" t="n">
        <v>0</v>
      </c>
      <c r="C72" s="42" t="n">
        <v>0</v>
      </c>
      <c r="D72" s="42" t="n">
        <v>0</v>
      </c>
      <c r="E72" s="42" t="n">
        <v>0</v>
      </c>
      <c r="F72" s="42" t="n">
        <v>0</v>
      </c>
      <c r="G72" s="42" t="n">
        <v>0</v>
      </c>
      <c r="H72" s="42" t="n">
        <v>0</v>
      </c>
      <c r="I72" s="42" t="n">
        <v>0</v>
      </c>
      <c r="J72" s="42" t="n">
        <v>0</v>
      </c>
      <c r="K72" s="42" t="n">
        <v>0</v>
      </c>
      <c r="L72" s="42" t="n">
        <v>0</v>
      </c>
      <c r="M72" s="42" t="n">
        <v>0</v>
      </c>
      <c r="N72" s="43">
        <f>SUM(B72:M72)</f>
        <v/>
      </c>
      <c r="O72" s="43">
        <f>N72</f>
        <v/>
      </c>
      <c r="P72" s="43">
        <f>O72</f>
        <v/>
      </c>
    </row>
    <row r="73">
      <c r="A73" s="44" t="inlineStr">
        <is>
          <t xml:space="preserve">　接待交際費</t>
        </is>
      </c>
      <c r="B73" s="45">
        <f>SUM(B74:B75)</f>
        <v/>
      </c>
      <c r="C73" s="45">
        <f>SUM(C74:C75)</f>
        <v/>
      </c>
      <c r="D73" s="45">
        <f>SUM(D74:D75)</f>
        <v/>
      </c>
      <c r="E73" s="45">
        <f>SUM(E74:E75)</f>
        <v/>
      </c>
      <c r="F73" s="45">
        <f>SUM(F74:F75)</f>
        <v/>
      </c>
      <c r="G73" s="45">
        <f>SUM(G74:G75)</f>
        <v/>
      </c>
      <c r="H73" s="45">
        <f>SUM(H74:H75)</f>
        <v/>
      </c>
      <c r="I73" s="45">
        <f>SUM(I74:I75)</f>
        <v/>
      </c>
      <c r="J73" s="45">
        <f>SUM(J74:J75)</f>
        <v/>
      </c>
      <c r="K73" s="45">
        <f>SUM(K74:K75)</f>
        <v/>
      </c>
      <c r="L73" s="45">
        <f>SUM(L74:L75)</f>
        <v/>
      </c>
      <c r="M73" s="45">
        <f>SUM(M74:M75)</f>
        <v/>
      </c>
      <c r="N73" s="45">
        <f>SUM(B73:M73)</f>
        <v/>
      </c>
      <c r="O73" s="45">
        <f>N73</f>
        <v/>
      </c>
      <c r="P73" s="45">
        <f>O73</f>
        <v/>
      </c>
    </row>
    <row r="74">
      <c r="A74" s="41" t="inlineStr">
        <is>
          <t xml:space="preserve">　　・接待飲食（1人1万円超等）</t>
        </is>
      </c>
      <c r="B74" s="42" t="n">
        <v>0</v>
      </c>
      <c r="C74" s="42" t="n">
        <v>0</v>
      </c>
      <c r="D74" s="42" t="n">
        <v>0</v>
      </c>
      <c r="E74" s="42" t="n">
        <v>0</v>
      </c>
      <c r="F74" s="42" t="n">
        <v>0</v>
      </c>
      <c r="G74" s="42" t="n">
        <v>0</v>
      </c>
      <c r="H74" s="42" t="n">
        <v>0</v>
      </c>
      <c r="I74" s="42" t="n">
        <v>0</v>
      </c>
      <c r="J74" s="42" t="n">
        <v>0</v>
      </c>
      <c r="K74" s="42" t="n">
        <v>0</v>
      </c>
      <c r="L74" s="42" t="n">
        <v>0</v>
      </c>
      <c r="M74" s="42" t="n">
        <v>0</v>
      </c>
      <c r="N74" s="43">
        <f>SUM(B74:M74)</f>
        <v/>
      </c>
      <c r="O74" s="43">
        <f>N74</f>
        <v/>
      </c>
      <c r="P74" s="43">
        <f>O74</f>
        <v/>
      </c>
    </row>
    <row r="75">
      <c r="A75" s="41" t="inlineStr">
        <is>
          <t xml:space="preserve">　　・贈答・慶弔</t>
        </is>
      </c>
      <c r="B75" s="42" t="n">
        <v>0</v>
      </c>
      <c r="C75" s="42" t="n">
        <v>0</v>
      </c>
      <c r="D75" s="42" t="n">
        <v>0</v>
      </c>
      <c r="E75" s="42" t="n">
        <v>0</v>
      </c>
      <c r="F75" s="42" t="n">
        <v>0</v>
      </c>
      <c r="G75" s="42" t="n">
        <v>0</v>
      </c>
      <c r="H75" s="42" t="n">
        <v>0</v>
      </c>
      <c r="I75" s="42" t="n">
        <v>0</v>
      </c>
      <c r="J75" s="42" t="n">
        <v>0</v>
      </c>
      <c r="K75" s="42" t="n">
        <v>0</v>
      </c>
      <c r="L75" s="42" t="n">
        <v>0</v>
      </c>
      <c r="M75" s="42" t="n">
        <v>0</v>
      </c>
      <c r="N75" s="43">
        <f>SUM(B75:M75)</f>
        <v/>
      </c>
      <c r="O75" s="43">
        <f>N75</f>
        <v/>
      </c>
      <c r="P75" s="43">
        <f>O75</f>
        <v/>
      </c>
    </row>
    <row r="76">
      <c r="A76" s="44" t="inlineStr">
        <is>
          <t xml:space="preserve">　支払手数料</t>
        </is>
      </c>
      <c r="B76" s="45">
        <f>SUM(B77:B78)</f>
        <v/>
      </c>
      <c r="C76" s="45">
        <f>SUM(C77:C78)</f>
        <v/>
      </c>
      <c r="D76" s="45">
        <f>SUM(D77:D78)</f>
        <v/>
      </c>
      <c r="E76" s="45">
        <f>SUM(E77:E78)</f>
        <v/>
      </c>
      <c r="F76" s="45">
        <f>SUM(F77:F78)</f>
        <v/>
      </c>
      <c r="G76" s="45">
        <f>SUM(G77:G78)</f>
        <v/>
      </c>
      <c r="H76" s="45">
        <f>SUM(H77:H78)</f>
        <v/>
      </c>
      <c r="I76" s="45">
        <f>SUM(I77:I78)</f>
        <v/>
      </c>
      <c r="J76" s="45">
        <f>SUM(J77:J78)</f>
        <v/>
      </c>
      <c r="K76" s="45">
        <f>SUM(K77:K78)</f>
        <v/>
      </c>
      <c r="L76" s="45">
        <f>SUM(L77:L78)</f>
        <v/>
      </c>
      <c r="M76" s="45">
        <f>SUM(M77:M78)</f>
        <v/>
      </c>
      <c r="N76" s="45">
        <f>SUM(B76:M76)</f>
        <v/>
      </c>
      <c r="O76" s="45">
        <f>N76</f>
        <v/>
      </c>
      <c r="P76" s="45">
        <f>O76</f>
        <v/>
      </c>
    </row>
    <row r="77">
      <c r="A77" s="41" t="inlineStr">
        <is>
          <t xml:space="preserve">　　・振込手数料</t>
        </is>
      </c>
      <c r="B77" s="42" t="n">
        <v>0</v>
      </c>
      <c r="C77" s="42" t="n">
        <v>0</v>
      </c>
      <c r="D77" s="42" t="n">
        <v>0</v>
      </c>
      <c r="E77" s="42" t="n">
        <v>0</v>
      </c>
      <c r="F77" s="42" t="n">
        <v>0</v>
      </c>
      <c r="G77" s="42" t="n">
        <v>0</v>
      </c>
      <c r="H77" s="42" t="n">
        <v>0</v>
      </c>
      <c r="I77" s="42" t="n">
        <v>0</v>
      </c>
      <c r="J77" s="42" t="n">
        <v>0</v>
      </c>
      <c r="K77" s="42" t="n">
        <v>0</v>
      </c>
      <c r="L77" s="42" t="n">
        <v>0</v>
      </c>
      <c r="M77" s="42" t="n">
        <v>0</v>
      </c>
      <c r="N77" s="43">
        <f>SUM(B77:M77)</f>
        <v/>
      </c>
      <c r="O77" s="43">
        <f>N77</f>
        <v/>
      </c>
      <c r="P77" s="43">
        <f>O77</f>
        <v/>
      </c>
    </row>
    <row r="78">
      <c r="A78" s="41" t="inlineStr">
        <is>
          <t xml:space="preserve">　　・決済・プラットフォーム手数料（Stripe等）</t>
        </is>
      </c>
      <c r="B78" s="42" t="n">
        <v>0</v>
      </c>
      <c r="C78" s="42" t="n">
        <v>0</v>
      </c>
      <c r="D78" s="42" t="n">
        <v>0</v>
      </c>
      <c r="E78" s="42" t="n">
        <v>0</v>
      </c>
      <c r="F78" s="42" t="n">
        <v>0</v>
      </c>
      <c r="G78" s="42" t="n">
        <v>0</v>
      </c>
      <c r="H78" s="42" t="n">
        <v>0</v>
      </c>
      <c r="I78" s="42" t="n">
        <v>0</v>
      </c>
      <c r="J78" s="42" t="n">
        <v>0</v>
      </c>
      <c r="K78" s="42" t="n">
        <v>0</v>
      </c>
      <c r="L78" s="42" t="n">
        <v>0</v>
      </c>
      <c r="M78" s="42" t="n">
        <v>0</v>
      </c>
      <c r="N78" s="43">
        <f>SUM(B78:M78)</f>
        <v/>
      </c>
      <c r="O78" s="43">
        <f>N78</f>
        <v/>
      </c>
      <c r="P78" s="43">
        <f>O78</f>
        <v/>
      </c>
    </row>
    <row r="79">
      <c r="A79" s="44" t="inlineStr">
        <is>
          <t xml:space="preserve">　販売費 小計</t>
        </is>
      </c>
      <c r="B79" s="45">
        <f>B63+B64+B70+B73+B76</f>
        <v/>
      </c>
      <c r="C79" s="45">
        <f>C63+C64+C70+C73+C76</f>
        <v/>
      </c>
      <c r="D79" s="45">
        <f>D63+D64+D70+D73+D76</f>
        <v/>
      </c>
      <c r="E79" s="45">
        <f>E63+E64+E70+E73+E76</f>
        <v/>
      </c>
      <c r="F79" s="45">
        <f>F63+F64+F70+F73+F76</f>
        <v/>
      </c>
      <c r="G79" s="45">
        <f>G63+G64+G70+G73+G76</f>
        <v/>
      </c>
      <c r="H79" s="45">
        <f>H63+H64+H70+H73+H76</f>
        <v/>
      </c>
      <c r="I79" s="45">
        <f>I63+I64+I70+I73+I76</f>
        <v/>
      </c>
      <c r="J79" s="45">
        <f>J63+J64+J70+J73+J76</f>
        <v/>
      </c>
      <c r="K79" s="45">
        <f>K63+K64+K70+K73+K76</f>
        <v/>
      </c>
      <c r="L79" s="45">
        <f>L63+L64+L70+L73+L76</f>
        <v/>
      </c>
      <c r="M79" s="45">
        <f>M63+M64+M70+M73+M76</f>
        <v/>
      </c>
      <c r="N79" s="45">
        <f>N63+N64+N70+N73+N76</f>
        <v/>
      </c>
      <c r="O79" s="45">
        <f>O63+O64+O70+O73+O76</f>
        <v/>
      </c>
      <c r="P79" s="45">
        <f>P63+P64+P70+P73+P76</f>
        <v/>
      </c>
    </row>
    <row r="80">
      <c r="A80" s="44" t="inlineStr">
        <is>
          <t>販管費 合計（販売費＋一般管理費／支払利息を除く）</t>
        </is>
      </c>
      <c r="B80" s="45">
        <f>B61+B79</f>
        <v/>
      </c>
      <c r="C80" s="45">
        <f>C61+C79</f>
        <v/>
      </c>
      <c r="D80" s="45">
        <f>D61+D79</f>
        <v/>
      </c>
      <c r="E80" s="45">
        <f>E61+E79</f>
        <v/>
      </c>
      <c r="F80" s="45">
        <f>F61+F79</f>
        <v/>
      </c>
      <c r="G80" s="45">
        <f>G61+G79</f>
        <v/>
      </c>
      <c r="H80" s="45">
        <f>H61+H79</f>
        <v/>
      </c>
      <c r="I80" s="45">
        <f>I61+I79</f>
        <v/>
      </c>
      <c r="J80" s="45">
        <f>J61+J79</f>
        <v/>
      </c>
      <c r="K80" s="45">
        <f>K61+K79</f>
        <v/>
      </c>
      <c r="L80" s="45">
        <f>L61+L79</f>
        <v/>
      </c>
      <c r="M80" s="45">
        <f>M61+M79</f>
        <v/>
      </c>
      <c r="N80" s="45">
        <f>N61+N79</f>
        <v/>
      </c>
      <c r="O80" s="45">
        <f>O61+O79</f>
        <v/>
      </c>
      <c r="P80" s="45">
        <f>P61+P79</f>
        <v/>
      </c>
    </row>
    <row r="81">
      <c r="A81" s="46" t="inlineStr">
        <is>
          <t>営業利益</t>
        </is>
      </c>
      <c r="B81" s="47">
        <f>B22-B80</f>
        <v/>
      </c>
      <c r="C81" s="47">
        <f>C22-C80</f>
        <v/>
      </c>
      <c r="D81" s="47">
        <f>D22-D80</f>
        <v/>
      </c>
      <c r="E81" s="47">
        <f>E22-E80</f>
        <v/>
      </c>
      <c r="F81" s="47">
        <f>F22-F80</f>
        <v/>
      </c>
      <c r="G81" s="47">
        <f>G22-G80</f>
        <v/>
      </c>
      <c r="H81" s="47">
        <f>H22-H80</f>
        <v/>
      </c>
      <c r="I81" s="47">
        <f>I22-I80</f>
        <v/>
      </c>
      <c r="J81" s="47">
        <f>J22-J80</f>
        <v/>
      </c>
      <c r="K81" s="47">
        <f>K22-K80</f>
        <v/>
      </c>
      <c r="L81" s="47">
        <f>L22-L80</f>
        <v/>
      </c>
      <c r="M81" s="47">
        <f>M22-M80</f>
        <v/>
      </c>
      <c r="N81" s="47">
        <f>N22-N80</f>
        <v/>
      </c>
      <c r="O81" s="47">
        <f>O22-O80</f>
        <v/>
      </c>
      <c r="P81" s="47">
        <f>P22-P80</f>
        <v/>
      </c>
    </row>
    <row r="82">
      <c r="A82" s="41" t="inlineStr">
        <is>
          <t xml:space="preserve">　支払利息（営業外費用・公庫融資後に計上・要確認）</t>
        </is>
      </c>
      <c r="B82" s="42" t="n">
        <v>0</v>
      </c>
      <c r="C82" s="42" t="n">
        <v>0</v>
      </c>
      <c r="D82" s="42" t="n">
        <v>0</v>
      </c>
      <c r="E82" s="42" t="n">
        <v>0</v>
      </c>
      <c r="F82" s="42" t="n">
        <v>0</v>
      </c>
      <c r="G82" s="42" t="n">
        <v>0</v>
      </c>
      <c r="H82" s="42" t="n">
        <v>0</v>
      </c>
      <c r="I82" s="42" t="n">
        <v>0</v>
      </c>
      <c r="J82" s="42" t="n">
        <v>0</v>
      </c>
      <c r="K82" s="42" t="n">
        <v>0</v>
      </c>
      <c r="L82" s="42" t="n">
        <v>0</v>
      </c>
      <c r="M82" s="42" t="n">
        <v>0</v>
      </c>
      <c r="N82" s="43">
        <f>SUM(B82:M82)</f>
        <v/>
      </c>
      <c r="O82" s="43">
        <f>N82</f>
        <v/>
      </c>
      <c r="P82" s="43">
        <f>O82</f>
        <v/>
      </c>
    </row>
    <row r="83">
      <c r="A83" s="46" t="inlineStr">
        <is>
          <t>経常利益</t>
        </is>
      </c>
      <c r="B83" s="47">
        <f>B81-B82</f>
        <v/>
      </c>
      <c r="C83" s="47">
        <f>C81-C82</f>
        <v/>
      </c>
      <c r="D83" s="47">
        <f>D81-D82</f>
        <v/>
      </c>
      <c r="E83" s="47">
        <f>E81-E82</f>
        <v/>
      </c>
      <c r="F83" s="47">
        <f>F81-F82</f>
        <v/>
      </c>
      <c r="G83" s="47">
        <f>G81-G82</f>
        <v/>
      </c>
      <c r="H83" s="47">
        <f>H81-H82</f>
        <v/>
      </c>
      <c r="I83" s="47">
        <f>I81-I82</f>
        <v/>
      </c>
      <c r="J83" s="47">
        <f>J81-J82</f>
        <v/>
      </c>
      <c r="K83" s="47">
        <f>K81-K82</f>
        <v/>
      </c>
      <c r="L83" s="47">
        <f>L81-L82</f>
        <v/>
      </c>
      <c r="M83" s="47">
        <f>M81-M82</f>
        <v/>
      </c>
      <c r="N83" s="47">
        <f>N81-N82</f>
        <v/>
      </c>
      <c r="O83" s="47">
        <f>O81-O82</f>
        <v/>
      </c>
      <c r="P83" s="47">
        <f>P81-P82</f>
        <v/>
      </c>
    </row>
    <row r="85">
      <c r="A85" s="35" t="inlineStr">
        <is>
          <t>＜参考：テンプレート標準外（融資審査用に当事業の実態を補足）＞</t>
        </is>
      </c>
    </row>
    <row r="86">
      <c r="A86" s="41" t="inlineStr">
        <is>
          <t>消費税（簡易課税・第5種50%）</t>
        </is>
      </c>
      <c r="N86" s="43">
        <f>ROUND(N20*0.1*(1-0.5),0)</f>
        <v/>
      </c>
      <c r="O86" s="43">
        <f>ROUND(O20*0.1*(1-0.5),0)</f>
        <v/>
      </c>
      <c r="P86" s="43">
        <f>ROUND(P20*0.1*(1-0.5),0)</f>
        <v/>
      </c>
    </row>
    <row r="87">
      <c r="A87" s="41" t="inlineStr">
        <is>
          <t>法人税等（経常利益×実効25%＋均等割7万）</t>
        </is>
      </c>
      <c r="N87" s="43">
        <f>ROUND(N83*0.25,0)+70000</f>
        <v/>
      </c>
      <c r="O87" s="43">
        <f>ROUND(O83*0.25,0)+70000</f>
        <v/>
      </c>
      <c r="P87" s="43">
        <f>ROUND(P83*0.25,0)+70000</f>
        <v/>
      </c>
    </row>
    <row r="88">
      <c r="A88" s="39" t="inlineStr">
        <is>
          <t>税引後利益（参考）</t>
        </is>
      </c>
      <c r="N88" s="48">
        <f>N83-N87</f>
        <v/>
      </c>
      <c r="O88" s="48">
        <f>O83-O87</f>
        <v/>
      </c>
      <c r="P88" s="48">
        <f>P83-P87</f>
        <v/>
      </c>
    </row>
    <row r="90">
      <c r="A90" s="35" t="inlineStr">
        <is>
          <t>【販管費の構成（2026-06-22）】販管費を「販売費」と「一般管理費」に分割し、各勘定科目に子階層（補助科目の内訳）を作成。売上のサービス→プラン階層と対称。親科目＝子の自動合計、子＝黄色の入力セル。</t>
        </is>
      </c>
    </row>
    <row r="91">
      <c r="A91" s="35" t="inlineStr">
        <is>
          <t>・販売費＝広告宣伝費／旅費交通費／会議費／接待交際費／支払手数料（売上獲得・促進にひもづくもの）。一般管理費＝人件費・通信・ソフトウェア利用料・地代家賃ほか会社運営の基盤。区分は実務上の目安でありたたき台（移動可）。</t>
        </is>
      </c>
    </row>
    <row r="92">
      <c r="A92" s="35" t="inlineStr">
        <is>
          <t>・子階層はITERRA勘定科目定義表の補助科目に準拠（例：ソフトウェア利用料＝グループウェア(Google Workspace)／生成AI(Claude)／コミュニケーション(Zoom/Slack/Chatwork)／ストレージ(Dropbox)＋ITA IFS CORP)。</t>
        </is>
      </c>
    </row>
    <row r="93">
      <c r="A93" s="35" t="inlineStr">
        <is>
          <t>★要確認（実データあり・金額未入力）：①ソフトウェア利用料の各内訳と「ITA IFS CORP 650USD/月」（正体・分類・リバースチャージ判定）。②通信費の内訳（携帯/回線/サーバー）はたたき台配分。③地代家賃＝「役員社宅 純額15万」と「VO/コワーキング/自宅按分」は二択。社宅化を実行するか実データに寄せるか要決定（現状は社宅側に15万を計上）。</t>
        </is>
      </c>
    </row>
    <row r="94">
      <c r="A94" s="35" t="inlineStr">
        <is>
          <t>【経理前提】税込経理（定義表）。本表金額は税抜たたき台のため確定時に税込へ寄せる要あり。課税方式は要確認（簡易課税を前提に消費税参考値を算定）。</t>
        </is>
      </c>
    </row>
    <row r="95">
      <c r="A95" s="35" t="inlineStr">
        <is>
          <t>【サービス／プラン】売上は「①診断→②伴走（松竹梅＋逓減）→③ライト→④既存受託」。松は本人1名のため数量0（拡張時に稼働）。松110万・梅40万・逓減35万の単価は仮置き。</t>
        </is>
      </c>
    </row>
    <row r="96">
      <c r="A96" s="35" t="inlineStr">
        <is>
          <t>【期・タイミング】1期=2023/6〜12、以後1〜12月。本表は当期4期(2026)〜翌々期6期(2028)。新規受注は2026年8月以降。</t>
        </is>
      </c>
    </row>
    <row r="97">
      <c r="A97" s="35" t="inlineStr">
        <is>
          <t>【売上原価0】コンサル/伴走は仕入原価なし。実装外注は一般管理費「外注費」へ。粗利＝売上高。</t>
        </is>
      </c>
    </row>
    <row r="98">
      <c r="A98" s="35" t="inlineStr">
        <is>
          <t>【注意】3期とも役員報酬7万据置のため営業利益・法人税が過大。翌期(2027)以降は報酬最適化が別タスク。数量・単価・科目金額はすべてたたき台＝黄色セルを上書き。</t>
        </is>
      </c>
    </row>
    <row r="99">
      <c r="A99" s="35" t="inlineStr">
        <is>
          <t>※出所：ITERRA_勘定科目定義表.xlsx ／ deliverables/keiei_model.xlsx（前提・Year1_月次・3年_四半期）。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2026-06-22T02:36:35Z</dcterms:created>
  <dcterms:modified xmlns:dcterms="http://purl.org/dc/terms/" xmlns:xsi="http://www.w3.org/2001/XMLSchema-instance" xsi:type="dcterms:W3CDTF">2026-06-22T03:39:25Z</dcterms:modified>
  <cp:lastModifiedBy>Yuki Ishida</cp:lastModifiedBy>
</cp:coreProperties>
</file>