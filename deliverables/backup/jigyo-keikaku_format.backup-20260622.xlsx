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bizis\iterra.jp\iterra-business-design\deliverables\"/>
    </mc:Choice>
  </mc:AlternateContent>
  <xr:revisionPtr revIDLastSave="0" documentId="13_ncr:1_{E1CE3085-3DB8-4042-9319-72ECA8A75F3A}" xr6:coauthVersionLast="47" xr6:coauthVersionMax="47" xr10:uidLastSave="{00000000-0000-0000-0000-000000000000}"/>
  <bookViews>
    <workbookView xWindow="-110" yWindow="-110" windowWidth="23260" windowHeight="14860" activeTab="1" xr2:uid="{00000000-000D-0000-FFFF-FFFF00000000}"/>
  </bookViews>
  <sheets>
    <sheet name="作成者からのコメント" sheetId="1" r:id="rId1"/>
    <sheet name="事業計画_月次_伴走事業"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4" i="2" l="1"/>
  <c r="C23" i="2"/>
  <c r="D23" i="2" s="1"/>
  <c r="C22" i="2"/>
  <c r="D22" i="2" s="1"/>
  <c r="C21" i="2"/>
  <c r="C20" i="2"/>
  <c r="D20" i="2" s="1"/>
  <c r="E20" i="2" s="1"/>
  <c r="F20" i="2" s="1"/>
  <c r="G20" i="2" s="1"/>
  <c r="H20" i="2" s="1"/>
  <c r="I20" i="2" s="1"/>
  <c r="J20" i="2" s="1"/>
  <c r="K20" i="2" s="1"/>
  <c r="L20" i="2" s="1"/>
  <c r="M20" i="2" s="1"/>
  <c r="C19" i="2"/>
  <c r="D19" i="2" s="1"/>
  <c r="C18" i="2"/>
  <c r="D18" i="2" s="1"/>
  <c r="C17" i="2"/>
  <c r="D17" i="2" s="1"/>
  <c r="C16" i="2"/>
  <c r="D16" i="2" s="1"/>
  <c r="C15" i="2"/>
  <c r="C14" i="2"/>
  <c r="D14" i="2" s="1"/>
  <c r="C13" i="2"/>
  <c r="D13" i="2" s="1"/>
  <c r="C12" i="2"/>
  <c r="C24" i="2" s="1"/>
  <c r="M11" i="2"/>
  <c r="L11" i="2"/>
  <c r="K11" i="2"/>
  <c r="D11" i="2"/>
  <c r="C11" i="2"/>
  <c r="C25" i="2" s="1"/>
  <c r="B11" i="2"/>
  <c r="N10" i="2"/>
  <c r="O10" i="2" s="1"/>
  <c r="P9" i="2"/>
  <c r="P28" i="2" s="1"/>
  <c r="O9" i="2"/>
  <c r="O28" i="2" s="1"/>
  <c r="M9" i="2"/>
  <c r="L9" i="2"/>
  <c r="K9" i="2"/>
  <c r="J9" i="2"/>
  <c r="J11" i="2" s="1"/>
  <c r="I9" i="2"/>
  <c r="I11" i="2" s="1"/>
  <c r="H9" i="2"/>
  <c r="H11" i="2" s="1"/>
  <c r="G9" i="2"/>
  <c r="G11" i="2" s="1"/>
  <c r="F9" i="2"/>
  <c r="F11" i="2" s="1"/>
  <c r="E9" i="2"/>
  <c r="E11" i="2" s="1"/>
  <c r="D9" i="2"/>
  <c r="C9" i="2"/>
  <c r="B9" i="2"/>
  <c r="N9" i="2" s="1"/>
  <c r="N28" i="2" s="1"/>
  <c r="N8" i="2"/>
  <c r="N7" i="2"/>
  <c r="N6" i="2"/>
  <c r="N5" i="2"/>
  <c r="C4" i="2"/>
  <c r="D4" i="2" s="1"/>
  <c r="E4" i="2" s="1"/>
  <c r="F4" i="2" s="1"/>
  <c r="G4" i="2" s="1"/>
  <c r="H4" i="2" s="1"/>
  <c r="I4" i="2" s="1"/>
  <c r="J4" i="2" s="1"/>
  <c r="K4" i="2" s="1"/>
  <c r="L4" i="2" s="1"/>
  <c r="M4" i="2" s="1"/>
  <c r="E13" i="2" l="1"/>
  <c r="F13" i="2" s="1"/>
  <c r="G13" i="2" s="1"/>
  <c r="H13" i="2" s="1"/>
  <c r="I13" i="2" s="1"/>
  <c r="J13" i="2" s="1"/>
  <c r="K13" i="2" s="1"/>
  <c r="L13" i="2" s="1"/>
  <c r="M13" i="2" s="1"/>
  <c r="N13" i="2"/>
  <c r="O13" i="2" s="1"/>
  <c r="P13" i="2" s="1"/>
  <c r="E14" i="2"/>
  <c r="F14" i="2" s="1"/>
  <c r="G14" i="2" s="1"/>
  <c r="H14" i="2" s="1"/>
  <c r="I14" i="2" s="1"/>
  <c r="J14" i="2" s="1"/>
  <c r="K14" i="2" s="1"/>
  <c r="L14" i="2" s="1"/>
  <c r="M14" i="2" s="1"/>
  <c r="N14" i="2"/>
  <c r="O14" i="2" s="1"/>
  <c r="P14" i="2" s="1"/>
  <c r="E16" i="2"/>
  <c r="F16" i="2" s="1"/>
  <c r="G16" i="2" s="1"/>
  <c r="H16" i="2" s="1"/>
  <c r="I16" i="2" s="1"/>
  <c r="J16" i="2" s="1"/>
  <c r="K16" i="2" s="1"/>
  <c r="L16" i="2" s="1"/>
  <c r="M16" i="2" s="1"/>
  <c r="N16" i="2"/>
  <c r="O16" i="2" s="1"/>
  <c r="P16" i="2" s="1"/>
  <c r="E17" i="2"/>
  <c r="F17" i="2" s="1"/>
  <c r="G17" i="2" s="1"/>
  <c r="H17" i="2" s="1"/>
  <c r="I17" i="2" s="1"/>
  <c r="J17" i="2" s="1"/>
  <c r="K17" i="2" s="1"/>
  <c r="L17" i="2" s="1"/>
  <c r="M17" i="2" s="1"/>
  <c r="N11" i="2"/>
  <c r="E18" i="2"/>
  <c r="F18" i="2" s="1"/>
  <c r="G18" i="2" s="1"/>
  <c r="H18" i="2" s="1"/>
  <c r="I18" i="2" s="1"/>
  <c r="J18" i="2" s="1"/>
  <c r="K18" i="2" s="1"/>
  <c r="L18" i="2" s="1"/>
  <c r="M18" i="2" s="1"/>
  <c r="N18" i="2"/>
  <c r="O18" i="2" s="1"/>
  <c r="P18" i="2" s="1"/>
  <c r="E19" i="2"/>
  <c r="F19" i="2" s="1"/>
  <c r="G19" i="2" s="1"/>
  <c r="H19" i="2" s="1"/>
  <c r="I19" i="2" s="1"/>
  <c r="J19" i="2" s="1"/>
  <c r="K19" i="2" s="1"/>
  <c r="L19" i="2" s="1"/>
  <c r="M19" i="2" s="1"/>
  <c r="N19" i="2"/>
  <c r="O19" i="2" s="1"/>
  <c r="P19" i="2" s="1"/>
  <c r="E23" i="2"/>
  <c r="F23" i="2" s="1"/>
  <c r="G23" i="2" s="1"/>
  <c r="H23" i="2" s="1"/>
  <c r="I23" i="2" s="1"/>
  <c r="J23" i="2" s="1"/>
  <c r="K23" i="2" s="1"/>
  <c r="L23" i="2" s="1"/>
  <c r="M23" i="2" s="1"/>
  <c r="N15" i="2"/>
  <c r="O15" i="2" s="1"/>
  <c r="P15" i="2" s="1"/>
  <c r="P10" i="2"/>
  <c r="P11" i="2" s="1"/>
  <c r="O11" i="2"/>
  <c r="E22" i="2"/>
  <c r="F22" i="2" s="1"/>
  <c r="G22" i="2" s="1"/>
  <c r="H22" i="2" s="1"/>
  <c r="I22" i="2" s="1"/>
  <c r="J22" i="2" s="1"/>
  <c r="K22" i="2" s="1"/>
  <c r="L22" i="2" s="1"/>
  <c r="M22" i="2" s="1"/>
  <c r="N22" i="2"/>
  <c r="O22" i="2" s="1"/>
  <c r="P22" i="2" s="1"/>
  <c r="D15" i="2"/>
  <c r="E15" i="2" s="1"/>
  <c r="F15" i="2" s="1"/>
  <c r="G15" i="2" s="1"/>
  <c r="H15" i="2" s="1"/>
  <c r="I15" i="2" s="1"/>
  <c r="J15" i="2" s="1"/>
  <c r="K15" i="2" s="1"/>
  <c r="L15" i="2" s="1"/>
  <c r="M15" i="2" s="1"/>
  <c r="N20" i="2"/>
  <c r="O20" i="2" s="1"/>
  <c r="P20" i="2" s="1"/>
  <c r="B25" i="2"/>
  <c r="D21" i="2"/>
  <c r="E21" i="2" s="1"/>
  <c r="F21" i="2" s="1"/>
  <c r="G21" i="2" s="1"/>
  <c r="H21" i="2" s="1"/>
  <c r="I21" i="2" s="1"/>
  <c r="J21" i="2" s="1"/>
  <c r="K21" i="2" s="1"/>
  <c r="L21" i="2" s="1"/>
  <c r="M21" i="2" s="1"/>
  <c r="D12" i="2"/>
  <c r="N23" i="2" l="1"/>
  <c r="O23" i="2" s="1"/>
  <c r="P23" i="2" s="1"/>
  <c r="N21" i="2"/>
  <c r="O21" i="2" s="1"/>
  <c r="P21" i="2" s="1"/>
  <c r="N17" i="2"/>
  <c r="O17" i="2" s="1"/>
  <c r="P17" i="2" s="1"/>
  <c r="D24" i="2"/>
  <c r="E12" i="2"/>
  <c r="F12" i="2" l="1"/>
  <c r="E24" i="2"/>
  <c r="E25" i="2" s="1"/>
  <c r="D25" i="2"/>
  <c r="F24" i="2" l="1"/>
  <c r="G12" i="2"/>
  <c r="F25" i="2" l="1"/>
  <c r="G24" i="2"/>
  <c r="G25" i="2" s="1"/>
  <c r="H12" i="2"/>
  <c r="H24" i="2" l="1"/>
  <c r="I12" i="2"/>
  <c r="I24" i="2" l="1"/>
  <c r="I25" i="2" s="1"/>
  <c r="J12" i="2"/>
  <c r="H25" i="2"/>
  <c r="J24" i="2" l="1"/>
  <c r="J25" i="2" s="1"/>
  <c r="K12" i="2"/>
  <c r="K24" i="2" l="1"/>
  <c r="K25" i="2" s="1"/>
  <c r="L12" i="2"/>
  <c r="L24" i="2" l="1"/>
  <c r="L25" i="2" s="1"/>
  <c r="M12" i="2"/>
  <c r="M24" i="2" l="1"/>
  <c r="N12" i="2"/>
  <c r="O12" i="2" s="1"/>
  <c r="P12" i="2" l="1"/>
  <c r="P24" i="2" s="1"/>
  <c r="P25" i="2" s="1"/>
  <c r="O24" i="2"/>
  <c r="O25" i="2" s="1"/>
  <c r="M25" i="2"/>
  <c r="N25" i="2" s="1"/>
  <c r="N24" i="2"/>
  <c r="N29" i="2" l="1"/>
  <c r="N30" i="2" s="1"/>
  <c r="O29" i="2"/>
  <c r="O30" i="2" s="1"/>
  <c r="P29" i="2"/>
  <c r="P30"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B4" authorId="0" shapeId="0" xr:uid="{00000000-0006-0000-0100-000001000000}">
      <text>
        <r>
          <rPr>
            <sz val="10"/>
            <color rgb="FF000000"/>
            <rFont val="Arial"/>
            <scheme val="minor"/>
          </rPr>
          <t>======
ID#AAABYw2pE5g
    (2024-11-16 08:19:13)
計画最初の月を半角数値入力</t>
        </r>
      </text>
    </comment>
  </commentList>
</comments>
</file>

<file path=xl/sharedStrings.xml><?xml version="1.0" encoding="utf-8"?>
<sst xmlns="http://schemas.openxmlformats.org/spreadsheetml/2006/main" count="54" uniqueCount="54">
  <si>
    <t>事業主名：（屋号・法人名は確定後に記入）／資本金50万円</t>
  </si>
  <si>
    <t>事業計画書</t>
  </si>
  <si>
    <t>業種：IT伴走支援（介護業界向け・経営/業務/システムの構造設計と並走）</t>
  </si>
  <si>
    <t>月</t>
  </si>
  <si>
    <t>1期目合計</t>
  </si>
  <si>
    <t>2期目合計</t>
  </si>
  <si>
    <t>3期目合計</t>
  </si>
  <si>
    <t>既存受託（土台・月40万）</t>
  </si>
  <si>
    <t>構造診断（立上10万/通常30万）</t>
  </si>
  <si>
    <t>濃い伴走（月75万・1社）</t>
  </si>
  <si>
    <t>ライト契約（月7万・1社）</t>
  </si>
  <si>
    <t>売上高</t>
  </si>
  <si>
    <t>売上原価（伴走は原価なし）</t>
  </si>
  <si>
    <t>粗利</t>
  </si>
  <si>
    <t>役員報酬</t>
  </si>
  <si>
    <t>給与手当</t>
  </si>
  <si>
    <t>法定福利費（社保・最低等級概算）</t>
  </si>
  <si>
    <t>外注費</t>
  </si>
  <si>
    <t>地代家賃（役員社宅・純額）</t>
  </si>
  <si>
    <t>水道光熱費</t>
  </si>
  <si>
    <t>通信費</t>
  </si>
  <si>
    <t>会議費</t>
  </si>
  <si>
    <t>旅費交通費</t>
  </si>
  <si>
    <t>広告宣伝費</t>
  </si>
  <si>
    <t>支払手数料（税理士顧問料）</t>
  </si>
  <si>
    <t>雑費（消耗品等）</t>
  </si>
  <si>
    <t>販管費合計</t>
  </si>
  <si>
    <t>営業利益</t>
  </si>
  <si>
    <t>＜参考：テンプレート標準外（融資審査用に当事業の実態を補足）＞</t>
  </si>
  <si>
    <t>消費税（簡易課税・第5種50%）</t>
  </si>
  <si>
    <t>法人税等（実効25%＋均等割7万）</t>
  </si>
  <si>
    <t>税引後利益（参考）</t>
  </si>
  <si>
    <t>【テンプレートからの変更点と前提】</t>
  </si>
  <si>
    <t>・売上ブロックを「客数×営業日数×客単価」から、当事業の4本立て（既存受託＋構造診断＋濃い伴走＋ライト契約）の積み上げに組み替え。</t>
  </si>
  <si>
    <t>・売上原価は0。コンサル/伴走は仕入原価がなく、実装外注が出れば販管費「外注費」に計上する設計。よって粗利＝売上高。</t>
  </si>
  <si>
    <t>・給与手当0＝従業員を雇わない一人会社（協力者は案件連動の外注費で処理）。</t>
  </si>
  <si>
    <t>・法定福利費は役員報酬7万の社会保険・最低等級概算（固定11,000円/月）。</t>
  </si>
  <si>
    <t>・地代家賃15万は役員社宅の純額（会社負担20万−本人負担5万）。会計上は家賃20万を計上し本人負担5万を受取家賃で相殺する想定。</t>
  </si>
  <si>
    <t>・支払手数料＝税理士顧問料、雑費＝消耗品費の仮置き。</t>
  </si>
  <si>
    <t>・「0／要確認」の科目（外注費・水道光熱費・会議費・旅費交通費・広告宣伝費・SaaS）は実数確定後に上書き。</t>
  </si>
  <si>
    <t>【数量前提】Y1は月次計画（診断:立上4＋通常3／濃い伴走 期末2社／ライト 期末3社）。Y2/Y3は四半期計画（診断 通常価格・濃い伴走 平均2社・ライト漸増）。</t>
  </si>
  <si>
    <t>【注意】Y1〜Y3とも役員報酬7万円据置のため営業利益・法人税が過大。Y2以降は役員報酬を最適額へ引き上げて法人税＋所得税＋社保の合計を最小化する（別タスク）。</t>
  </si>
  <si>
    <t>※出所：deliverables/keiei_model.xlsx（前提・Year1_月次・3年_四半期）。金額はすべて税抜・概算のたたき台。</t>
  </si>
  <si>
    <t>事業計画書フォーマット作成者の情報</t>
  </si>
  <si>
    <t>会社名</t>
  </si>
  <si>
    <t>税理士法人経営サポートプラスアルファ</t>
  </si>
  <si>
    <t>公式サイト</t>
  </si>
  <si>
    <t>https://keiei-support-plus-a.com/</t>
  </si>
  <si>
    <t>創業融資サポート（料金とサービス内容はコチラ）</t>
  </si>
  <si>
    <t>事業内容</t>
  </si>
  <si>
    <t>法人化サポート（料金とサービス内容はコチラ）</t>
  </si>
  <si>
    <t>顧問税理士（料金とサービス内容はコチラ）</t>
  </si>
  <si>
    <t>メッセージ</t>
  </si>
  <si>
    <t xml:space="preserve">
　この事業計画書を手にしたということは融資を受けようとしているタイミングや事業を始めるタイミングなど、何かしらチャレンジしていく状況にあるのかもしれません。
（チャレンジすることは素晴らしいことで、更に言えば致命傷を負わないチャレンジがおすすめです。）
事業を育てていくには大変なことも多いですが、その分やりがいや生きがいにも繋がっていくことと思います。
あなたのビジネスがうまいくいくことを願っております。
税理士法人経営サポートプラスアルファ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</si>
</sst>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rgb="FF000000"/>
      <name val="Arial"/>
      <scheme val="minor"/>
    </font>
    <font>
      <b/>
      <sz val="12"/>
      <color theme="1"/>
      <name val="Arial"/>
    </font>
    <font>
      <sz val="10"/>
      <color theme="1"/>
      <name val="Arial"/>
      <scheme val="minor"/>
    </font>
    <font>
      <sz val="12"/>
      <color theme="1"/>
      <name val="Arial"/>
    </font>
    <font>
      <u/>
      <sz val="12"/>
      <color rgb="FF0000FF"/>
      <name val="Arial"/>
    </font>
    <font>
      <u/>
      <sz val="12"/>
      <color rgb="FF0000FF"/>
      <name val="Arial"/>
    </font>
    <font>
      <u/>
      <sz val="12"/>
      <color rgb="FF0000FF"/>
      <name val="Arial"/>
    </font>
    <font>
      <u/>
      <sz val="12"/>
      <color rgb="FF0000FF"/>
      <name val="Arial"/>
    </font>
    <font>
      <sz val="10"/>
      <color theme="1"/>
      <name val="Arial"/>
    </font>
    <font>
      <sz val="18"/>
      <color theme="1"/>
      <name val="Arial"/>
    </font>
    <font>
      <sz val="6"/>
      <name val="Arial"/>
      <family val="3"/>
      <charset val="128"/>
      <scheme val="minor"/>
    </font>
  </fonts>
  <fills count="3">
    <fill>
      <patternFill patternType="none"/>
    </fill>
    <fill>
      <patternFill patternType="gray125"/>
    </fill>
    <fill>
      <patternFill patternType="solid">
        <fgColor rgb="FFCFE2F3"/>
        <bgColor rgb="FFCFE2F3"/>
      </patternFill>
    </fill>
  </fills>
  <borders count="12">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s>
  <cellStyleXfs count="1">
    <xf numFmtId="0" fontId="0" fillId="0" borderId="0"/>
  </cellStyleXfs>
  <cellXfs count="33">
    <xf numFmtId="0" fontId="0" fillId="0" borderId="0" xfId="0"/>
    <xf numFmtId="0" fontId="2" fillId="0" borderId="0" xfId="0" applyFont="1" applyAlignment="1">
      <alignment vertical="center"/>
    </xf>
    <xf numFmtId="0" fontId="3" fillId="0" borderId="1" xfId="0" applyFont="1" applyBorder="1" applyAlignment="1">
      <alignment vertical="center"/>
    </xf>
    <xf numFmtId="0" fontId="3" fillId="0" borderId="2" xfId="0" applyFont="1" applyBorder="1" applyAlignment="1">
      <alignment vertical="center"/>
    </xf>
    <xf numFmtId="0" fontId="4" fillId="0" borderId="2" xfId="0" applyFont="1" applyBorder="1" applyAlignment="1">
      <alignment vertical="center"/>
    </xf>
    <xf numFmtId="0" fontId="3" fillId="0" borderId="3" xfId="0" applyFont="1" applyBorder="1" applyAlignment="1">
      <alignment vertical="center"/>
    </xf>
    <xf numFmtId="0" fontId="5" fillId="0" borderId="4" xfId="0" applyFont="1" applyBorder="1" applyAlignment="1">
      <alignment vertical="center"/>
    </xf>
    <xf numFmtId="0" fontId="6" fillId="0" borderId="4" xfId="0" applyFont="1" applyBorder="1" applyAlignment="1">
      <alignment vertical="center"/>
    </xf>
    <xf numFmtId="0" fontId="3" fillId="0" borderId="5" xfId="0" applyFont="1" applyBorder="1" applyAlignment="1">
      <alignment vertical="center"/>
    </xf>
    <xf numFmtId="0" fontId="7" fillId="0" borderId="6" xfId="0" applyFont="1" applyBorder="1" applyAlignment="1">
      <alignment vertical="center"/>
    </xf>
    <xf numFmtId="0" fontId="3" fillId="0" borderId="1" xfId="0" applyFont="1" applyBorder="1" applyAlignment="1">
      <alignment vertical="center" wrapText="1"/>
    </xf>
    <xf numFmtId="3" fontId="8" fillId="0" borderId="0" xfId="0" applyNumberFormat="1" applyFont="1" applyAlignment="1">
      <alignment horizontal="left"/>
    </xf>
    <xf numFmtId="3" fontId="8" fillId="0" borderId="0" xfId="0" applyNumberFormat="1" applyFont="1" applyAlignment="1">
      <alignment horizontal="center"/>
    </xf>
    <xf numFmtId="3" fontId="9" fillId="0" borderId="0" xfId="0" applyNumberFormat="1" applyFont="1" applyAlignment="1">
      <alignment horizontal="center"/>
    </xf>
    <xf numFmtId="3" fontId="8" fillId="0" borderId="7" xfId="0" applyNumberFormat="1" applyFont="1" applyBorder="1" applyAlignment="1">
      <alignment horizontal="center"/>
    </xf>
    <xf numFmtId="3" fontId="8" fillId="0" borderId="8" xfId="0" applyNumberFormat="1" applyFont="1" applyBorder="1" applyAlignment="1">
      <alignment horizontal="center"/>
    </xf>
    <xf numFmtId="3" fontId="8" fillId="0" borderId="2" xfId="0" applyNumberFormat="1" applyFont="1" applyBorder="1" applyAlignment="1">
      <alignment horizontal="center"/>
    </xf>
    <xf numFmtId="3" fontId="8" fillId="0" borderId="1" xfId="0" applyNumberFormat="1" applyFont="1" applyBorder="1" applyAlignment="1">
      <alignment horizontal="center"/>
    </xf>
    <xf numFmtId="3" fontId="8" fillId="0" borderId="9" xfId="0" applyNumberFormat="1" applyFont="1" applyBorder="1"/>
    <xf numFmtId="3" fontId="8" fillId="0" borderId="0" xfId="0" applyNumberFormat="1" applyFont="1"/>
    <xf numFmtId="3" fontId="8" fillId="0" borderId="3" xfId="0" applyNumberFormat="1" applyFont="1" applyBorder="1"/>
    <xf numFmtId="3" fontId="8" fillId="2" borderId="7" xfId="0" applyNumberFormat="1" applyFont="1" applyFill="1" applyBorder="1"/>
    <xf numFmtId="3" fontId="8" fillId="2" borderId="8" xfId="0" applyNumberFormat="1" applyFont="1" applyFill="1" applyBorder="1"/>
    <xf numFmtId="3" fontId="8" fillId="2" borderId="1" xfId="0" applyNumberFormat="1" applyFont="1" applyFill="1" applyBorder="1"/>
    <xf numFmtId="3" fontId="8" fillId="0" borderId="7" xfId="0" applyNumberFormat="1" applyFont="1" applyBorder="1"/>
    <xf numFmtId="3" fontId="8" fillId="0" borderId="8" xfId="0" applyNumberFormat="1" applyFont="1" applyBorder="1"/>
    <xf numFmtId="3" fontId="8" fillId="0" borderId="1" xfId="0" applyNumberFormat="1" applyFont="1" applyBorder="1"/>
    <xf numFmtId="3" fontId="8" fillId="2" borderId="10" xfId="0" applyNumberFormat="1" applyFont="1" applyFill="1" applyBorder="1"/>
    <xf numFmtId="3" fontId="8" fillId="2" borderId="11" xfId="0" applyNumberFormat="1" applyFont="1" applyFill="1" applyBorder="1"/>
    <xf numFmtId="3" fontId="8" fillId="2" borderId="5" xfId="0" applyNumberFormat="1" applyFont="1" applyFill="1" applyBorder="1"/>
    <xf numFmtId="3" fontId="9" fillId="0" borderId="0" xfId="0" applyNumberFormat="1" applyFont="1" applyAlignment="1">
      <alignment horizontal="center"/>
    </xf>
    <xf numFmtId="0" fontId="0" fillId="0" borderId="0" xfId="0"/>
    <xf numFmtId="0" fontId="1" fillId="0" borderId="0" xfId="0" applyFont="1" applyAlignme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keiei-support-plus-a.com/kaisha-setsuritsu/" TargetMode="External"/><Relationship Id="rId2" Type="http://schemas.openxmlformats.org/officeDocument/2006/relationships/hyperlink" Target="https://keiei-support-plus-a.com/sougyou-yuushi/" TargetMode="External"/><Relationship Id="rId1" Type="http://schemas.openxmlformats.org/officeDocument/2006/relationships/hyperlink" Target="https://keiei-support-plus-a.com/" TargetMode="External"/><Relationship Id="rId4" Type="http://schemas.openxmlformats.org/officeDocument/2006/relationships/hyperlink" Target="https://keiei-support-plus-a.com/zeirishi-hiyou/" TargetMode="Externa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1"/>
  <sheetViews>
    <sheetView showGridLines="0" workbookViewId="0">
      <selection sqref="A1:B1"/>
    </sheetView>
  </sheetViews>
  <sheetFormatPr defaultColWidth="12.6328125" defaultRowHeight="15" customHeight="1" x14ac:dyDescent="0.25"/>
  <cols>
    <col min="1" max="1" width="12.6328125" customWidth="1"/>
    <col min="2" max="2" width="70.6328125" customWidth="1"/>
    <col min="3" max="6" width="12.6328125" customWidth="1"/>
  </cols>
  <sheetData>
    <row r="1" spans="1:26" ht="27.75" customHeight="1" x14ac:dyDescent="0.25">
      <c r="A1" s="32" t="s">
        <v>43</v>
      </c>
      <c r="B1" s="31"/>
      <c r="C1" s="1"/>
      <c r="D1" s="1"/>
      <c r="E1" s="1"/>
      <c r="F1" s="1"/>
      <c r="G1" s="1"/>
      <c r="H1" s="1"/>
      <c r="I1" s="1"/>
      <c r="J1" s="1"/>
      <c r="K1" s="1"/>
      <c r="L1" s="1"/>
      <c r="M1" s="1"/>
      <c r="N1" s="1"/>
      <c r="O1" s="1"/>
      <c r="P1" s="1"/>
      <c r="Q1" s="1"/>
      <c r="R1" s="1"/>
      <c r="S1" s="1"/>
      <c r="T1" s="1"/>
      <c r="U1" s="1"/>
      <c r="V1" s="1"/>
      <c r="W1" s="1"/>
      <c r="X1" s="1"/>
      <c r="Y1" s="1"/>
      <c r="Z1" s="1"/>
    </row>
    <row r="2" spans="1:26" ht="27.75" customHeight="1" x14ac:dyDescent="0.25">
      <c r="A2" s="2" t="s">
        <v>44</v>
      </c>
      <c r="B2" s="3" t="s">
        <v>45</v>
      </c>
      <c r="C2" s="1"/>
      <c r="D2" s="1"/>
      <c r="E2" s="1"/>
      <c r="F2" s="1"/>
      <c r="G2" s="1"/>
      <c r="H2" s="1"/>
      <c r="I2" s="1"/>
      <c r="J2" s="1"/>
      <c r="K2" s="1"/>
      <c r="L2" s="1"/>
      <c r="M2" s="1"/>
      <c r="N2" s="1"/>
      <c r="O2" s="1"/>
      <c r="P2" s="1"/>
      <c r="Q2" s="1"/>
      <c r="R2" s="1"/>
      <c r="S2" s="1"/>
      <c r="T2" s="1"/>
      <c r="U2" s="1"/>
      <c r="V2" s="1"/>
      <c r="W2" s="1"/>
      <c r="X2" s="1"/>
      <c r="Y2" s="1"/>
      <c r="Z2" s="1"/>
    </row>
    <row r="3" spans="1:26" ht="27.75" customHeight="1" x14ac:dyDescent="0.25">
      <c r="A3" s="2" t="s">
        <v>46</v>
      </c>
      <c r="B3" s="4" t="s">
        <v>47</v>
      </c>
      <c r="C3" s="1"/>
      <c r="D3" s="1"/>
      <c r="E3" s="1"/>
      <c r="F3" s="1"/>
      <c r="G3" s="1"/>
      <c r="H3" s="1"/>
      <c r="I3" s="1"/>
      <c r="J3" s="1"/>
      <c r="K3" s="1"/>
      <c r="L3" s="1"/>
      <c r="M3" s="1"/>
      <c r="N3" s="1"/>
      <c r="O3" s="1"/>
      <c r="P3" s="1"/>
      <c r="Q3" s="1"/>
      <c r="R3" s="1"/>
      <c r="S3" s="1"/>
      <c r="T3" s="1"/>
      <c r="U3" s="1"/>
      <c r="V3" s="1"/>
      <c r="W3" s="1"/>
      <c r="X3" s="1"/>
      <c r="Y3" s="1"/>
      <c r="Z3" s="1"/>
    </row>
    <row r="4" spans="1:26" ht="27.75" customHeight="1" x14ac:dyDescent="0.25">
      <c r="A4" s="5"/>
      <c r="B4" s="6" t="s">
        <v>48</v>
      </c>
      <c r="C4" s="1"/>
      <c r="D4" s="1"/>
      <c r="E4" s="1"/>
      <c r="F4" s="1"/>
      <c r="G4" s="1"/>
      <c r="H4" s="1"/>
      <c r="I4" s="1"/>
      <c r="J4" s="1"/>
      <c r="K4" s="1"/>
      <c r="L4" s="1"/>
      <c r="M4" s="1"/>
      <c r="N4" s="1"/>
      <c r="O4" s="1"/>
      <c r="P4" s="1"/>
      <c r="Q4" s="1"/>
      <c r="R4" s="1"/>
      <c r="S4" s="1"/>
      <c r="T4" s="1"/>
      <c r="U4" s="1"/>
      <c r="V4" s="1"/>
      <c r="W4" s="1"/>
      <c r="X4" s="1"/>
      <c r="Y4" s="1"/>
      <c r="Z4" s="1"/>
    </row>
    <row r="5" spans="1:26" ht="27.75" customHeight="1" x14ac:dyDescent="0.25">
      <c r="A5" s="5" t="s">
        <v>49</v>
      </c>
      <c r="B5" s="7" t="s">
        <v>50</v>
      </c>
      <c r="C5" s="1"/>
      <c r="D5" s="1"/>
      <c r="E5" s="1"/>
      <c r="F5" s="1"/>
      <c r="G5" s="1"/>
      <c r="H5" s="1"/>
      <c r="I5" s="1"/>
      <c r="J5" s="1"/>
      <c r="K5" s="1"/>
      <c r="L5" s="1"/>
      <c r="M5" s="1"/>
      <c r="N5" s="1"/>
      <c r="O5" s="1"/>
      <c r="P5" s="1"/>
      <c r="Q5" s="1"/>
      <c r="R5" s="1"/>
      <c r="S5" s="1"/>
      <c r="T5" s="1"/>
      <c r="U5" s="1"/>
      <c r="V5" s="1"/>
      <c r="W5" s="1"/>
      <c r="X5" s="1"/>
      <c r="Y5" s="1"/>
      <c r="Z5" s="1"/>
    </row>
    <row r="6" spans="1:26" ht="27.75" customHeight="1" x14ac:dyDescent="0.25">
      <c r="A6" s="8"/>
      <c r="B6" s="9" t="s">
        <v>51</v>
      </c>
      <c r="C6" s="1"/>
      <c r="D6" s="1"/>
      <c r="E6" s="1"/>
      <c r="F6" s="1"/>
      <c r="G6" s="1"/>
      <c r="H6" s="1"/>
      <c r="I6" s="1"/>
      <c r="J6" s="1"/>
      <c r="K6" s="1"/>
      <c r="L6" s="1"/>
      <c r="M6" s="1"/>
      <c r="N6" s="1"/>
      <c r="O6" s="1"/>
      <c r="P6" s="1"/>
      <c r="Q6" s="1"/>
      <c r="R6" s="1"/>
      <c r="S6" s="1"/>
      <c r="T6" s="1"/>
      <c r="U6" s="1"/>
      <c r="V6" s="1"/>
      <c r="W6" s="1"/>
      <c r="X6" s="1"/>
      <c r="Y6" s="1"/>
      <c r="Z6" s="1"/>
    </row>
    <row r="7" spans="1:26" ht="198.75" customHeight="1" x14ac:dyDescent="0.25">
      <c r="A7" s="10" t="s">
        <v>52</v>
      </c>
      <c r="B7" s="10" t="s">
        <v>53</v>
      </c>
      <c r="C7" s="1"/>
      <c r="D7" s="1"/>
      <c r="E7" s="1"/>
      <c r="F7" s="1"/>
      <c r="G7" s="1"/>
      <c r="H7" s="1"/>
      <c r="I7" s="1"/>
      <c r="J7" s="1"/>
      <c r="K7" s="1"/>
      <c r="L7" s="1"/>
      <c r="M7" s="1"/>
      <c r="N7" s="1"/>
      <c r="O7" s="1"/>
      <c r="P7" s="1"/>
      <c r="Q7" s="1"/>
      <c r="R7" s="1"/>
      <c r="S7" s="1"/>
      <c r="T7" s="1"/>
      <c r="U7" s="1"/>
      <c r="V7" s="1"/>
      <c r="W7" s="1"/>
      <c r="X7" s="1"/>
      <c r="Y7" s="1"/>
      <c r="Z7" s="1"/>
    </row>
    <row r="8" spans="1:26" ht="15.75" customHeight="1" x14ac:dyDescent="0.25">
      <c r="A8" s="1"/>
      <c r="B8" s="1"/>
      <c r="C8" s="1"/>
      <c r="D8" s="1"/>
      <c r="E8" s="1"/>
      <c r="F8" s="1"/>
      <c r="G8" s="1"/>
      <c r="H8" s="1"/>
      <c r="I8" s="1"/>
      <c r="J8" s="1"/>
      <c r="K8" s="1"/>
      <c r="L8" s="1"/>
      <c r="M8" s="1"/>
      <c r="N8" s="1"/>
      <c r="O8" s="1"/>
      <c r="P8" s="1"/>
      <c r="Q8" s="1"/>
      <c r="R8" s="1"/>
      <c r="S8" s="1"/>
      <c r="T8" s="1"/>
      <c r="U8" s="1"/>
      <c r="V8" s="1"/>
      <c r="W8" s="1"/>
      <c r="X8" s="1"/>
      <c r="Y8" s="1"/>
      <c r="Z8" s="1"/>
    </row>
    <row r="9" spans="1:26" ht="15.75" customHeight="1" x14ac:dyDescent="0.25">
      <c r="A9" s="1"/>
      <c r="B9" s="1"/>
      <c r="C9" s="1"/>
      <c r="D9" s="1"/>
      <c r="E9" s="1"/>
      <c r="F9" s="1"/>
      <c r="G9" s="1"/>
      <c r="H9" s="1"/>
      <c r="I9" s="1"/>
      <c r="J9" s="1"/>
      <c r="K9" s="1"/>
      <c r="L9" s="1"/>
      <c r="M9" s="1"/>
      <c r="N9" s="1"/>
      <c r="O9" s="1"/>
      <c r="P9" s="1"/>
      <c r="Q9" s="1"/>
      <c r="R9" s="1"/>
      <c r="S9" s="1"/>
      <c r="T9" s="1"/>
      <c r="U9" s="1"/>
      <c r="V9" s="1"/>
      <c r="W9" s="1"/>
      <c r="X9" s="1"/>
      <c r="Y9" s="1"/>
      <c r="Z9" s="1"/>
    </row>
    <row r="10" spans="1:26" ht="15.75" customHeight="1" x14ac:dyDescent="0.25">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5.75" customHeight="1" x14ac:dyDescent="0.25">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5.75" customHeight="1" x14ac:dyDescent="0.25">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5.75" customHeight="1" x14ac:dyDescent="0.25">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5.75" customHeight="1" x14ac:dyDescent="0.2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5.75" customHeight="1" x14ac:dyDescent="0.2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5.75" customHeight="1" x14ac:dyDescent="0.2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5.75" customHeight="1" x14ac:dyDescent="0.2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ht="15.75" customHeight="1" x14ac:dyDescent="0.2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5.75" customHeight="1" x14ac:dyDescent="0.2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5.75" customHeight="1" x14ac:dyDescent="0.2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5.75" customHeight="1" x14ac:dyDescent="0.2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mergeCells count="1">
    <mergeCell ref="A1:B1"/>
  </mergeCells>
  <phoneticPr fontId="10"/>
  <hyperlinks>
    <hyperlink ref="B3" r:id="rId1" xr:uid="{00000000-0004-0000-0000-000000000000}"/>
    <hyperlink ref="B4" r:id="rId2" xr:uid="{00000000-0004-0000-0000-000001000000}"/>
    <hyperlink ref="B5" r:id="rId3" xr:uid="{00000000-0004-0000-0000-000002000000}"/>
    <hyperlink ref="B6" r:id="rId4" xr:uid="{00000000-0004-0000-0000-000003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P1000"/>
  <sheetViews>
    <sheetView showGridLines="0" tabSelected="1" workbookViewId="0">
      <selection activeCell="I18" sqref="I18"/>
    </sheetView>
  </sheetViews>
  <sheetFormatPr defaultColWidth="12.6328125" defaultRowHeight="15" customHeight="1" x14ac:dyDescent="0.25"/>
  <cols>
    <col min="1" max="1" width="32.1796875" customWidth="1"/>
    <col min="2" max="5" width="7.81640625" bestFit="1" customWidth="1"/>
    <col min="6" max="13" width="9.36328125" bestFit="1" customWidth="1"/>
    <col min="14" max="16" width="10.36328125" bestFit="1" customWidth="1"/>
  </cols>
  <sheetData>
    <row r="1" spans="1:16" ht="15.75" customHeight="1" x14ac:dyDescent="0.25">
      <c r="A1" s="11" t="s">
        <v>0</v>
      </c>
      <c r="B1" s="12"/>
      <c r="C1" s="12"/>
      <c r="D1" s="12"/>
      <c r="E1" s="12"/>
      <c r="F1" s="30" t="s">
        <v>1</v>
      </c>
      <c r="G1" s="31"/>
      <c r="H1" s="31"/>
      <c r="I1" s="31"/>
      <c r="J1" s="12"/>
      <c r="K1" s="12"/>
      <c r="L1" s="12"/>
      <c r="M1" s="12"/>
      <c r="N1" s="12"/>
      <c r="O1" s="12"/>
      <c r="P1" s="12"/>
    </row>
    <row r="2" spans="1:16" ht="15.75" customHeight="1" x14ac:dyDescent="0.25">
      <c r="A2" s="11" t="s">
        <v>2</v>
      </c>
      <c r="B2" s="12"/>
      <c r="C2" s="12"/>
      <c r="D2" s="12"/>
      <c r="E2" s="12"/>
      <c r="F2" s="31"/>
      <c r="G2" s="31"/>
      <c r="H2" s="31"/>
      <c r="I2" s="31"/>
      <c r="J2" s="12"/>
      <c r="K2" s="12"/>
      <c r="L2" s="12"/>
      <c r="M2" s="12"/>
      <c r="N2" s="12"/>
      <c r="O2" s="12"/>
      <c r="P2" s="12"/>
    </row>
    <row r="3" spans="1:16" ht="15.75" customHeight="1" x14ac:dyDescent="0.45">
      <c r="A3" s="11"/>
      <c r="B3" s="12"/>
      <c r="C3" s="12"/>
      <c r="D3" s="12"/>
      <c r="E3" s="12"/>
      <c r="F3" s="13"/>
      <c r="G3" s="13"/>
      <c r="H3" s="13"/>
      <c r="I3" s="13"/>
      <c r="J3" s="12"/>
      <c r="K3" s="12"/>
      <c r="L3" s="12"/>
      <c r="M3" s="12"/>
      <c r="N3" s="12"/>
      <c r="O3" s="12"/>
      <c r="P3" s="12"/>
    </row>
    <row r="4" spans="1:16" ht="15.75" customHeight="1" x14ac:dyDescent="0.25">
      <c r="A4" s="14" t="s">
        <v>3</v>
      </c>
      <c r="B4" s="15">
        <v>1</v>
      </c>
      <c r="C4" s="15">
        <f t="shared" ref="C4:M4" si="0">IF(B4+1&gt;12,1,B4+1)</f>
        <v>2</v>
      </c>
      <c r="D4" s="15">
        <f t="shared" si="0"/>
        <v>3</v>
      </c>
      <c r="E4" s="15">
        <f t="shared" si="0"/>
        <v>4</v>
      </c>
      <c r="F4" s="15">
        <f t="shared" si="0"/>
        <v>5</v>
      </c>
      <c r="G4" s="15">
        <f t="shared" si="0"/>
        <v>6</v>
      </c>
      <c r="H4" s="15">
        <f t="shared" si="0"/>
        <v>7</v>
      </c>
      <c r="I4" s="15">
        <f t="shared" si="0"/>
        <v>8</v>
      </c>
      <c r="J4" s="15">
        <f t="shared" si="0"/>
        <v>9</v>
      </c>
      <c r="K4" s="15">
        <f t="shared" si="0"/>
        <v>10</v>
      </c>
      <c r="L4" s="15">
        <f t="shared" si="0"/>
        <v>11</v>
      </c>
      <c r="M4" s="16">
        <f t="shared" si="0"/>
        <v>12</v>
      </c>
      <c r="N4" s="17" t="s">
        <v>4</v>
      </c>
      <c r="O4" s="17" t="s">
        <v>5</v>
      </c>
      <c r="P4" s="17" t="s">
        <v>6</v>
      </c>
    </row>
    <row r="5" spans="1:16" ht="15.75" customHeight="1" x14ac:dyDescent="0.25">
      <c r="A5" s="18" t="s">
        <v>7</v>
      </c>
      <c r="B5" s="19">
        <v>400000</v>
      </c>
      <c r="C5" s="19">
        <v>400000</v>
      </c>
      <c r="D5" s="19">
        <v>400000</v>
      </c>
      <c r="E5" s="19">
        <v>400000</v>
      </c>
      <c r="F5" s="19">
        <v>400000</v>
      </c>
      <c r="G5" s="19">
        <v>400000</v>
      </c>
      <c r="H5" s="19">
        <v>400000</v>
      </c>
      <c r="I5" s="19">
        <v>400000</v>
      </c>
      <c r="J5" s="19">
        <v>400000</v>
      </c>
      <c r="K5" s="19">
        <v>400000</v>
      </c>
      <c r="L5" s="19">
        <v>400000</v>
      </c>
      <c r="M5" s="19">
        <v>400000</v>
      </c>
      <c r="N5" s="20">
        <f t="shared" ref="N5:N25" si="1">SUM(B5:M5)</f>
        <v>4800000</v>
      </c>
      <c r="O5" s="20">
        <v>4800000</v>
      </c>
      <c r="P5" s="20">
        <v>4800000</v>
      </c>
    </row>
    <row r="6" spans="1:16" ht="15.75" customHeight="1" x14ac:dyDescent="0.25">
      <c r="A6" s="18" t="s">
        <v>8</v>
      </c>
      <c r="B6" s="19">
        <v>100000</v>
      </c>
      <c r="C6" s="19">
        <v>100000</v>
      </c>
      <c r="D6" s="19">
        <v>100000</v>
      </c>
      <c r="E6" s="19">
        <v>100000</v>
      </c>
      <c r="F6" s="19">
        <v>0</v>
      </c>
      <c r="G6" s="19">
        <v>0</v>
      </c>
      <c r="H6" s="19">
        <v>0</v>
      </c>
      <c r="I6" s="19">
        <v>300000</v>
      </c>
      <c r="J6" s="19">
        <v>0</v>
      </c>
      <c r="K6" s="19">
        <v>300000</v>
      </c>
      <c r="L6" s="19">
        <v>0</v>
      </c>
      <c r="M6" s="19">
        <v>300000</v>
      </c>
      <c r="N6" s="20">
        <f t="shared" si="1"/>
        <v>1300000</v>
      </c>
      <c r="O6" s="20">
        <v>2400000</v>
      </c>
      <c r="P6" s="20">
        <v>1200000</v>
      </c>
    </row>
    <row r="7" spans="1:16" ht="15.75" customHeight="1" x14ac:dyDescent="0.25">
      <c r="A7" s="18" t="s">
        <v>9</v>
      </c>
      <c r="B7" s="19">
        <v>0</v>
      </c>
      <c r="C7" s="19">
        <v>0</v>
      </c>
      <c r="D7" s="19">
        <v>0</v>
      </c>
      <c r="E7" s="19">
        <v>0</v>
      </c>
      <c r="F7" s="19">
        <v>750000</v>
      </c>
      <c r="G7" s="19">
        <v>750000</v>
      </c>
      <c r="H7" s="19">
        <v>750000</v>
      </c>
      <c r="I7" s="19">
        <v>750000</v>
      </c>
      <c r="J7" s="19">
        <v>1500000</v>
      </c>
      <c r="K7" s="19">
        <v>1500000</v>
      </c>
      <c r="L7" s="19">
        <v>1500000</v>
      </c>
      <c r="M7" s="19">
        <v>1500000</v>
      </c>
      <c r="N7" s="20">
        <f t="shared" si="1"/>
        <v>9000000</v>
      </c>
      <c r="O7" s="20">
        <v>18000000</v>
      </c>
      <c r="P7" s="20">
        <v>18000000</v>
      </c>
    </row>
    <row r="8" spans="1:16" ht="15.75" customHeight="1" x14ac:dyDescent="0.25">
      <c r="A8" s="18" t="s">
        <v>10</v>
      </c>
      <c r="B8" s="19">
        <v>0</v>
      </c>
      <c r="C8" s="19">
        <v>0</v>
      </c>
      <c r="D8" s="19">
        <v>0</v>
      </c>
      <c r="E8" s="19">
        <v>0</v>
      </c>
      <c r="F8" s="19">
        <v>0</v>
      </c>
      <c r="G8" s="19">
        <v>0</v>
      </c>
      <c r="H8" s="19">
        <v>0</v>
      </c>
      <c r="I8" s="19">
        <v>0</v>
      </c>
      <c r="J8" s="19">
        <v>0</v>
      </c>
      <c r="K8" s="19">
        <v>70000</v>
      </c>
      <c r="L8" s="19">
        <v>70000</v>
      </c>
      <c r="M8" s="19">
        <v>70000</v>
      </c>
      <c r="N8" s="20">
        <f t="shared" si="1"/>
        <v>210000</v>
      </c>
      <c r="O8" s="20">
        <v>2940000</v>
      </c>
      <c r="P8" s="20">
        <v>6300000</v>
      </c>
    </row>
    <row r="9" spans="1:16" ht="15.75" customHeight="1" x14ac:dyDescent="0.25">
      <c r="A9" s="21" t="s">
        <v>11</v>
      </c>
      <c r="B9" s="22">
        <f t="shared" ref="B9:M9" si="2">SUM(B5:B8)</f>
        <v>500000</v>
      </c>
      <c r="C9" s="22">
        <f t="shared" si="2"/>
        <v>500000</v>
      </c>
      <c r="D9" s="22">
        <f t="shared" si="2"/>
        <v>500000</v>
      </c>
      <c r="E9" s="22">
        <f t="shared" si="2"/>
        <v>500000</v>
      </c>
      <c r="F9" s="22">
        <f t="shared" si="2"/>
        <v>1150000</v>
      </c>
      <c r="G9" s="22">
        <f t="shared" si="2"/>
        <v>1150000</v>
      </c>
      <c r="H9" s="22">
        <f t="shared" si="2"/>
        <v>1150000</v>
      </c>
      <c r="I9" s="22">
        <f t="shared" si="2"/>
        <v>1450000</v>
      </c>
      <c r="J9" s="22">
        <f t="shared" si="2"/>
        <v>1900000</v>
      </c>
      <c r="K9" s="22">
        <f t="shared" si="2"/>
        <v>2270000</v>
      </c>
      <c r="L9" s="22">
        <f t="shared" si="2"/>
        <v>1970000</v>
      </c>
      <c r="M9" s="22">
        <f t="shared" si="2"/>
        <v>2270000</v>
      </c>
      <c r="N9" s="23">
        <f t="shared" si="1"/>
        <v>15310000</v>
      </c>
      <c r="O9" s="23">
        <f>SUM(O5:O8)</f>
        <v>28140000</v>
      </c>
      <c r="P9" s="23">
        <f>SUM(P5:P8)</f>
        <v>30300000</v>
      </c>
    </row>
    <row r="10" spans="1:16" ht="15.75" customHeight="1" x14ac:dyDescent="0.25">
      <c r="A10" s="18" t="s">
        <v>12</v>
      </c>
      <c r="B10" s="19">
        <v>0</v>
      </c>
      <c r="C10" s="19">
        <v>0</v>
      </c>
      <c r="D10" s="19">
        <v>0</v>
      </c>
      <c r="E10" s="19">
        <v>0</v>
      </c>
      <c r="F10" s="19">
        <v>0</v>
      </c>
      <c r="G10" s="19">
        <v>0</v>
      </c>
      <c r="H10" s="19">
        <v>0</v>
      </c>
      <c r="I10" s="19">
        <v>0</v>
      </c>
      <c r="J10" s="19">
        <v>0</v>
      </c>
      <c r="K10" s="19">
        <v>0</v>
      </c>
      <c r="L10" s="19">
        <v>0</v>
      </c>
      <c r="M10" s="19">
        <v>0</v>
      </c>
      <c r="N10" s="20">
        <f t="shared" si="1"/>
        <v>0</v>
      </c>
      <c r="O10" s="20">
        <f>N10</f>
        <v>0</v>
      </c>
      <c r="P10" s="20">
        <f>O10</f>
        <v>0</v>
      </c>
    </row>
    <row r="11" spans="1:16" ht="15.75" customHeight="1" x14ac:dyDescent="0.25">
      <c r="A11" s="21" t="s">
        <v>13</v>
      </c>
      <c r="B11" s="22">
        <f t="shared" ref="B11:M11" si="3">B9-B10</f>
        <v>500000</v>
      </c>
      <c r="C11" s="22">
        <f t="shared" si="3"/>
        <v>500000</v>
      </c>
      <c r="D11" s="22">
        <f t="shared" si="3"/>
        <v>500000</v>
      </c>
      <c r="E11" s="22">
        <f t="shared" si="3"/>
        <v>500000</v>
      </c>
      <c r="F11" s="22">
        <f t="shared" si="3"/>
        <v>1150000</v>
      </c>
      <c r="G11" s="22">
        <f t="shared" si="3"/>
        <v>1150000</v>
      </c>
      <c r="H11" s="22">
        <f t="shared" si="3"/>
        <v>1150000</v>
      </c>
      <c r="I11" s="22">
        <f t="shared" si="3"/>
        <v>1450000</v>
      </c>
      <c r="J11" s="22">
        <f t="shared" si="3"/>
        <v>1900000</v>
      </c>
      <c r="K11" s="22">
        <f t="shared" si="3"/>
        <v>2270000</v>
      </c>
      <c r="L11" s="22">
        <f t="shared" si="3"/>
        <v>1970000</v>
      </c>
      <c r="M11" s="22">
        <f t="shared" si="3"/>
        <v>2270000</v>
      </c>
      <c r="N11" s="23">
        <f t="shared" si="1"/>
        <v>15310000</v>
      </c>
      <c r="O11" s="23">
        <f>O9-O10</f>
        <v>28140000</v>
      </c>
      <c r="P11" s="23">
        <f>P9-P10</f>
        <v>30300000</v>
      </c>
    </row>
    <row r="12" spans="1:16" ht="15.75" customHeight="1" x14ac:dyDescent="0.25">
      <c r="A12" s="18" t="s">
        <v>14</v>
      </c>
      <c r="B12" s="19">
        <v>70000</v>
      </c>
      <c r="C12" s="19">
        <f t="shared" ref="C12:M12" si="4">B12</f>
        <v>70000</v>
      </c>
      <c r="D12" s="19">
        <f t="shared" si="4"/>
        <v>70000</v>
      </c>
      <c r="E12" s="19">
        <f t="shared" si="4"/>
        <v>70000</v>
      </c>
      <c r="F12" s="19">
        <f t="shared" si="4"/>
        <v>70000</v>
      </c>
      <c r="G12" s="19">
        <f t="shared" si="4"/>
        <v>70000</v>
      </c>
      <c r="H12" s="19">
        <f t="shared" si="4"/>
        <v>70000</v>
      </c>
      <c r="I12" s="19">
        <f t="shared" si="4"/>
        <v>70000</v>
      </c>
      <c r="J12" s="19">
        <f t="shared" si="4"/>
        <v>70000</v>
      </c>
      <c r="K12" s="19">
        <f t="shared" si="4"/>
        <v>70000</v>
      </c>
      <c r="L12" s="19">
        <f t="shared" si="4"/>
        <v>70000</v>
      </c>
      <c r="M12" s="19">
        <f t="shared" si="4"/>
        <v>70000</v>
      </c>
      <c r="N12" s="20">
        <f t="shared" si="1"/>
        <v>840000</v>
      </c>
      <c r="O12" s="20">
        <f t="shared" ref="O12:P23" si="5">N12</f>
        <v>840000</v>
      </c>
      <c r="P12" s="20">
        <f t="shared" si="5"/>
        <v>840000</v>
      </c>
    </row>
    <row r="13" spans="1:16" ht="15.75" customHeight="1" x14ac:dyDescent="0.25">
      <c r="A13" s="18" t="s">
        <v>15</v>
      </c>
      <c r="B13" s="19">
        <v>0</v>
      </c>
      <c r="C13" s="19">
        <f t="shared" ref="C13:M13" si="6">B13</f>
        <v>0</v>
      </c>
      <c r="D13" s="19">
        <f t="shared" si="6"/>
        <v>0</v>
      </c>
      <c r="E13" s="19">
        <f t="shared" si="6"/>
        <v>0</v>
      </c>
      <c r="F13" s="19">
        <f t="shared" si="6"/>
        <v>0</v>
      </c>
      <c r="G13" s="19">
        <f t="shared" si="6"/>
        <v>0</v>
      </c>
      <c r="H13" s="19">
        <f t="shared" si="6"/>
        <v>0</v>
      </c>
      <c r="I13" s="19">
        <f t="shared" si="6"/>
        <v>0</v>
      </c>
      <c r="J13" s="19">
        <f t="shared" si="6"/>
        <v>0</v>
      </c>
      <c r="K13" s="19">
        <f t="shared" si="6"/>
        <v>0</v>
      </c>
      <c r="L13" s="19">
        <f t="shared" si="6"/>
        <v>0</v>
      </c>
      <c r="M13" s="19">
        <f t="shared" si="6"/>
        <v>0</v>
      </c>
      <c r="N13" s="20">
        <f t="shared" si="1"/>
        <v>0</v>
      </c>
      <c r="O13" s="20">
        <f t="shared" si="5"/>
        <v>0</v>
      </c>
      <c r="P13" s="20">
        <f t="shared" si="5"/>
        <v>0</v>
      </c>
    </row>
    <row r="14" spans="1:16" ht="15.75" customHeight="1" x14ac:dyDescent="0.25">
      <c r="A14" s="18" t="s">
        <v>16</v>
      </c>
      <c r="B14" s="19">
        <v>11000</v>
      </c>
      <c r="C14" s="19">
        <f t="shared" ref="C14:M14" si="7">B14</f>
        <v>11000</v>
      </c>
      <c r="D14" s="19">
        <f t="shared" si="7"/>
        <v>11000</v>
      </c>
      <c r="E14" s="19">
        <f t="shared" si="7"/>
        <v>11000</v>
      </c>
      <c r="F14" s="19">
        <f t="shared" si="7"/>
        <v>11000</v>
      </c>
      <c r="G14" s="19">
        <f t="shared" si="7"/>
        <v>11000</v>
      </c>
      <c r="H14" s="19">
        <f t="shared" si="7"/>
        <v>11000</v>
      </c>
      <c r="I14" s="19">
        <f t="shared" si="7"/>
        <v>11000</v>
      </c>
      <c r="J14" s="19">
        <f t="shared" si="7"/>
        <v>11000</v>
      </c>
      <c r="K14" s="19">
        <f t="shared" si="7"/>
        <v>11000</v>
      </c>
      <c r="L14" s="19">
        <f t="shared" si="7"/>
        <v>11000</v>
      </c>
      <c r="M14" s="19">
        <f t="shared" si="7"/>
        <v>11000</v>
      </c>
      <c r="N14" s="20">
        <f t="shared" si="1"/>
        <v>132000</v>
      </c>
      <c r="O14" s="20">
        <f t="shared" si="5"/>
        <v>132000</v>
      </c>
      <c r="P14" s="20">
        <f t="shared" si="5"/>
        <v>132000</v>
      </c>
    </row>
    <row r="15" spans="1:16" ht="15.75" customHeight="1" x14ac:dyDescent="0.25">
      <c r="A15" s="18" t="s">
        <v>17</v>
      </c>
      <c r="B15" s="19">
        <v>0</v>
      </c>
      <c r="C15" s="19">
        <f t="shared" ref="C15:M15" si="8">B15</f>
        <v>0</v>
      </c>
      <c r="D15" s="19">
        <f t="shared" si="8"/>
        <v>0</v>
      </c>
      <c r="E15" s="19">
        <f t="shared" si="8"/>
        <v>0</v>
      </c>
      <c r="F15" s="19">
        <f t="shared" si="8"/>
        <v>0</v>
      </c>
      <c r="G15" s="19">
        <f t="shared" si="8"/>
        <v>0</v>
      </c>
      <c r="H15" s="19">
        <f t="shared" si="8"/>
        <v>0</v>
      </c>
      <c r="I15" s="19">
        <f t="shared" si="8"/>
        <v>0</v>
      </c>
      <c r="J15" s="19">
        <f t="shared" si="8"/>
        <v>0</v>
      </c>
      <c r="K15" s="19">
        <f t="shared" si="8"/>
        <v>0</v>
      </c>
      <c r="L15" s="19">
        <f t="shared" si="8"/>
        <v>0</v>
      </c>
      <c r="M15" s="19">
        <f t="shared" si="8"/>
        <v>0</v>
      </c>
      <c r="N15" s="20">
        <f t="shared" si="1"/>
        <v>0</v>
      </c>
      <c r="O15" s="20">
        <f t="shared" si="5"/>
        <v>0</v>
      </c>
      <c r="P15" s="20">
        <f t="shared" si="5"/>
        <v>0</v>
      </c>
    </row>
    <row r="16" spans="1:16" ht="15.75" customHeight="1" x14ac:dyDescent="0.25">
      <c r="A16" s="18" t="s">
        <v>18</v>
      </c>
      <c r="B16" s="19">
        <v>150000</v>
      </c>
      <c r="C16" s="19">
        <f t="shared" ref="C16:M16" si="9">B16</f>
        <v>150000</v>
      </c>
      <c r="D16" s="19">
        <f t="shared" si="9"/>
        <v>150000</v>
      </c>
      <c r="E16" s="19">
        <f t="shared" si="9"/>
        <v>150000</v>
      </c>
      <c r="F16" s="19">
        <f t="shared" si="9"/>
        <v>150000</v>
      </c>
      <c r="G16" s="19">
        <f t="shared" si="9"/>
        <v>150000</v>
      </c>
      <c r="H16" s="19">
        <f t="shared" si="9"/>
        <v>150000</v>
      </c>
      <c r="I16" s="19">
        <f t="shared" si="9"/>
        <v>150000</v>
      </c>
      <c r="J16" s="19">
        <f t="shared" si="9"/>
        <v>150000</v>
      </c>
      <c r="K16" s="19">
        <f t="shared" si="9"/>
        <v>150000</v>
      </c>
      <c r="L16" s="19">
        <f t="shared" si="9"/>
        <v>150000</v>
      </c>
      <c r="M16" s="19">
        <f t="shared" si="9"/>
        <v>150000</v>
      </c>
      <c r="N16" s="20">
        <f t="shared" si="1"/>
        <v>1800000</v>
      </c>
      <c r="O16" s="20">
        <f t="shared" si="5"/>
        <v>1800000</v>
      </c>
      <c r="P16" s="20">
        <f t="shared" si="5"/>
        <v>1800000</v>
      </c>
    </row>
    <row r="17" spans="1:16" ht="15.75" customHeight="1" x14ac:dyDescent="0.25">
      <c r="A17" s="18" t="s">
        <v>19</v>
      </c>
      <c r="B17" s="19">
        <v>0</v>
      </c>
      <c r="C17" s="19">
        <f t="shared" ref="C17:M17" si="10">B17</f>
        <v>0</v>
      </c>
      <c r="D17" s="19">
        <f t="shared" si="10"/>
        <v>0</v>
      </c>
      <c r="E17" s="19">
        <f t="shared" si="10"/>
        <v>0</v>
      </c>
      <c r="F17" s="19">
        <f t="shared" si="10"/>
        <v>0</v>
      </c>
      <c r="G17" s="19">
        <f t="shared" si="10"/>
        <v>0</v>
      </c>
      <c r="H17" s="19">
        <f t="shared" si="10"/>
        <v>0</v>
      </c>
      <c r="I17" s="19">
        <f t="shared" si="10"/>
        <v>0</v>
      </c>
      <c r="J17" s="19">
        <f t="shared" si="10"/>
        <v>0</v>
      </c>
      <c r="K17" s="19">
        <f t="shared" si="10"/>
        <v>0</v>
      </c>
      <c r="L17" s="19">
        <f t="shared" si="10"/>
        <v>0</v>
      </c>
      <c r="M17" s="19">
        <f t="shared" si="10"/>
        <v>0</v>
      </c>
      <c r="N17" s="20">
        <f t="shared" si="1"/>
        <v>0</v>
      </c>
      <c r="O17" s="20">
        <f t="shared" si="5"/>
        <v>0</v>
      </c>
      <c r="P17" s="20">
        <f t="shared" si="5"/>
        <v>0</v>
      </c>
    </row>
    <row r="18" spans="1:16" ht="15.75" customHeight="1" x14ac:dyDescent="0.25">
      <c r="A18" s="18" t="s">
        <v>20</v>
      </c>
      <c r="B18" s="19">
        <v>50000</v>
      </c>
      <c r="C18" s="19">
        <f t="shared" ref="C18:M18" si="11">B18</f>
        <v>50000</v>
      </c>
      <c r="D18" s="19">
        <f t="shared" si="11"/>
        <v>50000</v>
      </c>
      <c r="E18" s="19">
        <f t="shared" si="11"/>
        <v>50000</v>
      </c>
      <c r="F18" s="19">
        <f t="shared" si="11"/>
        <v>50000</v>
      </c>
      <c r="G18" s="19">
        <f t="shared" si="11"/>
        <v>50000</v>
      </c>
      <c r="H18" s="19">
        <f t="shared" si="11"/>
        <v>50000</v>
      </c>
      <c r="I18" s="19">
        <f t="shared" si="11"/>
        <v>50000</v>
      </c>
      <c r="J18" s="19">
        <f t="shared" si="11"/>
        <v>50000</v>
      </c>
      <c r="K18" s="19">
        <f t="shared" si="11"/>
        <v>50000</v>
      </c>
      <c r="L18" s="19">
        <f t="shared" si="11"/>
        <v>50000</v>
      </c>
      <c r="M18" s="19">
        <f t="shared" si="11"/>
        <v>50000</v>
      </c>
      <c r="N18" s="20">
        <f t="shared" si="1"/>
        <v>600000</v>
      </c>
      <c r="O18" s="20">
        <f t="shared" si="5"/>
        <v>600000</v>
      </c>
      <c r="P18" s="20">
        <f t="shared" si="5"/>
        <v>600000</v>
      </c>
    </row>
    <row r="19" spans="1:16" ht="15.75" customHeight="1" x14ac:dyDescent="0.25">
      <c r="A19" s="18" t="s">
        <v>21</v>
      </c>
      <c r="B19" s="19">
        <v>0</v>
      </c>
      <c r="C19" s="19">
        <f t="shared" ref="C19:M19" si="12">B19</f>
        <v>0</v>
      </c>
      <c r="D19" s="19">
        <f t="shared" si="12"/>
        <v>0</v>
      </c>
      <c r="E19" s="19">
        <f t="shared" si="12"/>
        <v>0</v>
      </c>
      <c r="F19" s="19">
        <f t="shared" si="12"/>
        <v>0</v>
      </c>
      <c r="G19" s="19">
        <f t="shared" si="12"/>
        <v>0</v>
      </c>
      <c r="H19" s="19">
        <f t="shared" si="12"/>
        <v>0</v>
      </c>
      <c r="I19" s="19">
        <f t="shared" si="12"/>
        <v>0</v>
      </c>
      <c r="J19" s="19">
        <f t="shared" si="12"/>
        <v>0</v>
      </c>
      <c r="K19" s="19">
        <f t="shared" si="12"/>
        <v>0</v>
      </c>
      <c r="L19" s="19">
        <f t="shared" si="12"/>
        <v>0</v>
      </c>
      <c r="M19" s="19">
        <f t="shared" si="12"/>
        <v>0</v>
      </c>
      <c r="N19" s="20">
        <f t="shared" si="1"/>
        <v>0</v>
      </c>
      <c r="O19" s="20">
        <f t="shared" si="5"/>
        <v>0</v>
      </c>
      <c r="P19" s="20">
        <f t="shared" si="5"/>
        <v>0</v>
      </c>
    </row>
    <row r="20" spans="1:16" ht="15.75" customHeight="1" x14ac:dyDescent="0.25">
      <c r="A20" s="18" t="s">
        <v>22</v>
      </c>
      <c r="B20" s="19">
        <v>0</v>
      </c>
      <c r="C20" s="19">
        <f t="shared" ref="C20:M20" si="13">B20</f>
        <v>0</v>
      </c>
      <c r="D20" s="19">
        <f t="shared" si="13"/>
        <v>0</v>
      </c>
      <c r="E20" s="19">
        <f t="shared" si="13"/>
        <v>0</v>
      </c>
      <c r="F20" s="19">
        <f t="shared" si="13"/>
        <v>0</v>
      </c>
      <c r="G20" s="19">
        <f t="shared" si="13"/>
        <v>0</v>
      </c>
      <c r="H20" s="19">
        <f t="shared" si="13"/>
        <v>0</v>
      </c>
      <c r="I20" s="19">
        <f t="shared" si="13"/>
        <v>0</v>
      </c>
      <c r="J20" s="19">
        <f t="shared" si="13"/>
        <v>0</v>
      </c>
      <c r="K20" s="19">
        <f t="shared" si="13"/>
        <v>0</v>
      </c>
      <c r="L20" s="19">
        <f t="shared" si="13"/>
        <v>0</v>
      </c>
      <c r="M20" s="19">
        <f t="shared" si="13"/>
        <v>0</v>
      </c>
      <c r="N20" s="20">
        <f t="shared" si="1"/>
        <v>0</v>
      </c>
      <c r="O20" s="20">
        <f t="shared" si="5"/>
        <v>0</v>
      </c>
      <c r="P20" s="20">
        <f t="shared" si="5"/>
        <v>0</v>
      </c>
    </row>
    <row r="21" spans="1:16" ht="15.75" customHeight="1" x14ac:dyDescent="0.25">
      <c r="A21" s="18" t="s">
        <v>23</v>
      </c>
      <c r="B21" s="19">
        <v>0</v>
      </c>
      <c r="C21" s="19">
        <f t="shared" ref="C21:M21" si="14">B21</f>
        <v>0</v>
      </c>
      <c r="D21" s="19">
        <f t="shared" si="14"/>
        <v>0</v>
      </c>
      <c r="E21" s="19">
        <f t="shared" si="14"/>
        <v>0</v>
      </c>
      <c r="F21" s="19">
        <f t="shared" si="14"/>
        <v>0</v>
      </c>
      <c r="G21" s="19">
        <f t="shared" si="14"/>
        <v>0</v>
      </c>
      <c r="H21" s="19">
        <f t="shared" si="14"/>
        <v>0</v>
      </c>
      <c r="I21" s="19">
        <f t="shared" si="14"/>
        <v>0</v>
      </c>
      <c r="J21" s="19">
        <f t="shared" si="14"/>
        <v>0</v>
      </c>
      <c r="K21" s="19">
        <f t="shared" si="14"/>
        <v>0</v>
      </c>
      <c r="L21" s="19">
        <f t="shared" si="14"/>
        <v>0</v>
      </c>
      <c r="M21" s="19">
        <f t="shared" si="14"/>
        <v>0</v>
      </c>
      <c r="N21" s="20">
        <f t="shared" si="1"/>
        <v>0</v>
      </c>
      <c r="O21" s="20">
        <f t="shared" si="5"/>
        <v>0</v>
      </c>
      <c r="P21" s="20">
        <f t="shared" si="5"/>
        <v>0</v>
      </c>
    </row>
    <row r="22" spans="1:16" ht="15.75" customHeight="1" x14ac:dyDescent="0.25">
      <c r="A22" s="18" t="s">
        <v>24</v>
      </c>
      <c r="B22" s="19">
        <v>30000</v>
      </c>
      <c r="C22" s="19">
        <f t="shared" ref="C22:M22" si="15">B22</f>
        <v>30000</v>
      </c>
      <c r="D22" s="19">
        <f t="shared" si="15"/>
        <v>30000</v>
      </c>
      <c r="E22" s="19">
        <f t="shared" si="15"/>
        <v>30000</v>
      </c>
      <c r="F22" s="19">
        <f t="shared" si="15"/>
        <v>30000</v>
      </c>
      <c r="G22" s="19">
        <f t="shared" si="15"/>
        <v>30000</v>
      </c>
      <c r="H22" s="19">
        <f t="shared" si="15"/>
        <v>30000</v>
      </c>
      <c r="I22" s="19">
        <f t="shared" si="15"/>
        <v>30000</v>
      </c>
      <c r="J22" s="19">
        <f t="shared" si="15"/>
        <v>30000</v>
      </c>
      <c r="K22" s="19">
        <f t="shared" si="15"/>
        <v>30000</v>
      </c>
      <c r="L22" s="19">
        <f t="shared" si="15"/>
        <v>30000</v>
      </c>
      <c r="M22" s="19">
        <f t="shared" si="15"/>
        <v>30000</v>
      </c>
      <c r="N22" s="20">
        <f t="shared" si="1"/>
        <v>360000</v>
      </c>
      <c r="O22" s="20">
        <f t="shared" si="5"/>
        <v>360000</v>
      </c>
      <c r="P22" s="20">
        <f t="shared" si="5"/>
        <v>360000</v>
      </c>
    </row>
    <row r="23" spans="1:16" ht="15.75" customHeight="1" x14ac:dyDescent="0.25">
      <c r="A23" s="18" t="s">
        <v>25</v>
      </c>
      <c r="B23" s="19">
        <v>5000</v>
      </c>
      <c r="C23" s="19">
        <f t="shared" ref="C23:M23" si="16">B23</f>
        <v>5000</v>
      </c>
      <c r="D23" s="19">
        <f t="shared" si="16"/>
        <v>5000</v>
      </c>
      <c r="E23" s="19">
        <f t="shared" si="16"/>
        <v>5000</v>
      </c>
      <c r="F23" s="19">
        <f t="shared" si="16"/>
        <v>5000</v>
      </c>
      <c r="G23" s="19">
        <f t="shared" si="16"/>
        <v>5000</v>
      </c>
      <c r="H23" s="19">
        <f t="shared" si="16"/>
        <v>5000</v>
      </c>
      <c r="I23" s="19">
        <f t="shared" si="16"/>
        <v>5000</v>
      </c>
      <c r="J23" s="19">
        <f t="shared" si="16"/>
        <v>5000</v>
      </c>
      <c r="K23" s="19">
        <f t="shared" si="16"/>
        <v>5000</v>
      </c>
      <c r="L23" s="19">
        <f t="shared" si="16"/>
        <v>5000</v>
      </c>
      <c r="M23" s="19">
        <f t="shared" si="16"/>
        <v>5000</v>
      </c>
      <c r="N23" s="20">
        <f t="shared" si="1"/>
        <v>60000</v>
      </c>
      <c r="O23" s="20">
        <f t="shared" si="5"/>
        <v>60000</v>
      </c>
      <c r="P23" s="20">
        <f t="shared" si="5"/>
        <v>60000</v>
      </c>
    </row>
    <row r="24" spans="1:16" ht="15.75" customHeight="1" x14ac:dyDescent="0.25">
      <c r="A24" s="24" t="s">
        <v>26</v>
      </c>
      <c r="B24" s="25">
        <f t="shared" ref="B24:M24" si="17">SUM(B12:B23)</f>
        <v>316000</v>
      </c>
      <c r="C24" s="25">
        <f t="shared" si="17"/>
        <v>316000</v>
      </c>
      <c r="D24" s="25">
        <f t="shared" si="17"/>
        <v>316000</v>
      </c>
      <c r="E24" s="25">
        <f t="shared" si="17"/>
        <v>316000</v>
      </c>
      <c r="F24" s="25">
        <f t="shared" si="17"/>
        <v>316000</v>
      </c>
      <c r="G24" s="25">
        <f t="shared" si="17"/>
        <v>316000</v>
      </c>
      <c r="H24" s="25">
        <f t="shared" si="17"/>
        <v>316000</v>
      </c>
      <c r="I24" s="25">
        <f t="shared" si="17"/>
        <v>316000</v>
      </c>
      <c r="J24" s="25">
        <f t="shared" si="17"/>
        <v>316000</v>
      </c>
      <c r="K24" s="25">
        <f t="shared" si="17"/>
        <v>316000</v>
      </c>
      <c r="L24" s="25">
        <f t="shared" si="17"/>
        <v>316000</v>
      </c>
      <c r="M24" s="25">
        <f t="shared" si="17"/>
        <v>316000</v>
      </c>
      <c r="N24" s="26">
        <f t="shared" si="1"/>
        <v>3792000</v>
      </c>
      <c r="O24" s="26">
        <f>SUM(O12:O23)</f>
        <v>3792000</v>
      </c>
      <c r="P24" s="26">
        <f>SUM(P12:P23)</f>
        <v>3792000</v>
      </c>
    </row>
    <row r="25" spans="1:16" ht="15.75" customHeight="1" x14ac:dyDescent="0.25">
      <c r="A25" s="27" t="s">
        <v>27</v>
      </c>
      <c r="B25" s="28">
        <f t="shared" ref="B25:M25" si="18">B11-B24</f>
        <v>184000</v>
      </c>
      <c r="C25" s="28">
        <f t="shared" si="18"/>
        <v>184000</v>
      </c>
      <c r="D25" s="28">
        <f t="shared" si="18"/>
        <v>184000</v>
      </c>
      <c r="E25" s="28">
        <f t="shared" si="18"/>
        <v>184000</v>
      </c>
      <c r="F25" s="28">
        <f t="shared" si="18"/>
        <v>834000</v>
      </c>
      <c r="G25" s="28">
        <f t="shared" si="18"/>
        <v>834000</v>
      </c>
      <c r="H25" s="28">
        <f t="shared" si="18"/>
        <v>834000</v>
      </c>
      <c r="I25" s="28">
        <f t="shared" si="18"/>
        <v>1134000</v>
      </c>
      <c r="J25" s="28">
        <f t="shared" si="18"/>
        <v>1584000</v>
      </c>
      <c r="K25" s="28">
        <f t="shared" si="18"/>
        <v>1954000</v>
      </c>
      <c r="L25" s="28">
        <f t="shared" si="18"/>
        <v>1654000</v>
      </c>
      <c r="M25" s="28">
        <f t="shared" si="18"/>
        <v>1954000</v>
      </c>
      <c r="N25" s="29">
        <f t="shared" si="1"/>
        <v>11518000</v>
      </c>
      <c r="O25" s="29">
        <f>O11-O24</f>
        <v>24348000</v>
      </c>
      <c r="P25" s="29">
        <f>P11-P24</f>
        <v>26508000</v>
      </c>
    </row>
    <row r="26" spans="1:16" ht="15.75" customHeight="1" x14ac:dyDescent="0.25"/>
    <row r="27" spans="1:16" ht="15.75" customHeight="1" x14ac:dyDescent="0.25">
      <c r="A27" t="s">
        <v>28</v>
      </c>
    </row>
    <row r="28" spans="1:16" ht="15.75" customHeight="1" x14ac:dyDescent="0.25">
      <c r="A28" t="s">
        <v>29</v>
      </c>
      <c r="N28">
        <f>ROUND(N9*0.1*(1-0.5),0)</f>
        <v>765500</v>
      </c>
      <c r="O28">
        <f>ROUND(O9*0.1*(1-0.5),0)</f>
        <v>1407000</v>
      </c>
      <c r="P28">
        <f>ROUND(P9*0.1*(1-0.5),0)</f>
        <v>1515000</v>
      </c>
    </row>
    <row r="29" spans="1:16" ht="15.75" customHeight="1" x14ac:dyDescent="0.25">
      <c r="A29" t="s">
        <v>30</v>
      </c>
      <c r="N29">
        <f>ROUND(N25*0.25,0)+70000</f>
        <v>2949500</v>
      </c>
      <c r="O29">
        <f>ROUND(O25*0.25,0)+70000</f>
        <v>6157000</v>
      </c>
      <c r="P29">
        <f>ROUND(P25*0.25,0)+70000</f>
        <v>6697000</v>
      </c>
    </row>
    <row r="30" spans="1:16" ht="15.75" customHeight="1" x14ac:dyDescent="0.25">
      <c r="A30" t="s">
        <v>31</v>
      </c>
      <c r="N30">
        <f>N25-N29</f>
        <v>8568500</v>
      </c>
      <c r="O30">
        <f>O25-O29</f>
        <v>18191000</v>
      </c>
      <c r="P30">
        <f>P25-P29</f>
        <v>19811000</v>
      </c>
    </row>
    <row r="31" spans="1:16" ht="15.75" customHeight="1" x14ac:dyDescent="0.25"/>
    <row r="32" spans="1:16" ht="15.75" customHeight="1" x14ac:dyDescent="0.25">
      <c r="A32" t="s">
        <v>32</v>
      </c>
    </row>
    <row r="33" spans="1:1" ht="15.75" customHeight="1" x14ac:dyDescent="0.25">
      <c r="A33" t="s">
        <v>33</v>
      </c>
    </row>
    <row r="34" spans="1:1" ht="15.75" customHeight="1" x14ac:dyDescent="0.25">
      <c r="A34" t="s">
        <v>34</v>
      </c>
    </row>
    <row r="35" spans="1:1" ht="15.75" customHeight="1" x14ac:dyDescent="0.25">
      <c r="A35" t="s">
        <v>35</v>
      </c>
    </row>
    <row r="36" spans="1:1" ht="15.75" customHeight="1" x14ac:dyDescent="0.25">
      <c r="A36" t="s">
        <v>36</v>
      </c>
    </row>
    <row r="37" spans="1:1" ht="15.75" customHeight="1" x14ac:dyDescent="0.25">
      <c r="A37" t="s">
        <v>37</v>
      </c>
    </row>
    <row r="38" spans="1:1" ht="15.75" customHeight="1" x14ac:dyDescent="0.25">
      <c r="A38" t="s">
        <v>38</v>
      </c>
    </row>
    <row r="39" spans="1:1" ht="15.75" customHeight="1" x14ac:dyDescent="0.25">
      <c r="A39" t="s">
        <v>39</v>
      </c>
    </row>
    <row r="40" spans="1:1" ht="15.75" customHeight="1" x14ac:dyDescent="0.25">
      <c r="A40" t="s">
        <v>40</v>
      </c>
    </row>
    <row r="41" spans="1:1" ht="15.75" customHeight="1" x14ac:dyDescent="0.25">
      <c r="A41" t="s">
        <v>41</v>
      </c>
    </row>
    <row r="42" spans="1:1" ht="15.75" customHeight="1" x14ac:dyDescent="0.25">
      <c r="A42" t="s">
        <v>42</v>
      </c>
    </row>
    <row r="43" spans="1:1" ht="15.75" customHeight="1" x14ac:dyDescent="0.25"/>
    <row r="44" spans="1:1" ht="15.75" customHeight="1" x14ac:dyDescent="0.25"/>
    <row r="45" spans="1:1" ht="15.75" customHeight="1" x14ac:dyDescent="0.25"/>
    <row r="46" spans="1:1" ht="15.75" customHeight="1" x14ac:dyDescent="0.25"/>
    <row r="47" spans="1:1" ht="15.75" customHeight="1" x14ac:dyDescent="0.25"/>
    <row r="48" spans="1:1"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F1:I2"/>
  </mergeCells>
  <phoneticPr fontId="10"/>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作成者からのコメント</vt:lpstr>
      <vt:lpstr>事業計画_月次_伴走事業</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Yuki Ishida</cp:lastModifiedBy>
  <dcterms:created xsi:type="dcterms:W3CDTF">2026-06-22T02:36:35Z</dcterms:created>
  <dcterms:modified xsi:type="dcterms:W3CDTF">2026-06-22T02:57:24Z</dcterms:modified>
</cp:coreProperties>
</file>