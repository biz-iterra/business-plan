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3260" windowHeight="14860" tabRatio="600" firstSheet="0" activeTab="1" autoFilterDateGrouping="1"/>
  </bookViews>
  <sheets>
    <sheet xmlns:r="http://schemas.openxmlformats.org/officeDocument/2006/relationships" name="作成者からのコメント" sheetId="1" state="visible" r:id="rId1"/>
    <sheet xmlns:r="http://schemas.openxmlformats.org/officeDocument/2006/relationships" name="事業計画_月次_伴走事業" sheetId="2" state="visible" r:id="rId2"/>
  </sheets>
  <definedNames/>
  <calcPr calcId="191029" fullCalcOnLoad="1"/>
</workbook>
</file>

<file path=xl/styles.xml><?xml version="1.0" encoding="utf-8"?>
<styleSheet xmlns="http://schemas.openxmlformats.org/spreadsheetml/2006/main">
  <numFmts count="0"/>
  <fonts count="16">
    <font>
      <name val="Arial"/>
      <color rgb="FF000000"/>
      <sz val="10"/>
      <scheme val="minor"/>
    </font>
    <font>
      <name val="Arial"/>
      <b val="1"/>
      <color theme="1"/>
      <sz val="12"/>
    </font>
    <font>
      <name val="Arial"/>
      <color theme="1"/>
      <sz val="10"/>
      <scheme val="minor"/>
    </font>
    <font>
      <name val="Arial"/>
      <color theme="1"/>
      <sz val="12"/>
    </font>
    <font>
      <name val="Arial"/>
      <color rgb="FF0000FF"/>
      <sz val="12"/>
      <u val="single"/>
    </font>
    <font>
      <name val="Arial"/>
      <color rgb="FF0000FF"/>
      <sz val="12"/>
      <u val="single"/>
    </font>
    <font>
      <name val="Arial"/>
      <color rgb="FF0000FF"/>
      <sz val="12"/>
      <u val="single"/>
    </font>
    <font>
      <name val="Arial"/>
      <color rgb="FF0000FF"/>
      <sz val="12"/>
      <u val="single"/>
    </font>
    <font>
      <name val="Arial"/>
      <color theme="1"/>
      <sz val="10"/>
    </font>
    <font>
      <name val="Arial"/>
      <color theme="1"/>
      <sz val="18"/>
    </font>
    <font>
      <name val="Arial"/>
      <charset val="128"/>
      <family val="3"/>
      <sz val="6"/>
      <scheme val="minor"/>
    </font>
    <font>
      <b val="1"/>
      <sz val="14"/>
    </font>
    <font>
      <sz val="10"/>
    </font>
    <font>
      <i val="1"/>
      <color rgb="00555555"/>
      <sz val="9"/>
    </font>
    <font>
      <b val="1"/>
      <sz val="11"/>
    </font>
    <font>
      <b val="1"/>
    </font>
  </fonts>
  <fills count="8">
    <fill>
      <patternFill/>
    </fill>
    <fill>
      <patternFill patternType="gray125"/>
    </fill>
    <fill>
      <patternFill patternType="solid">
        <fgColor rgb="FFCFE2F3"/>
        <bgColor rgb="FFCFE2F3"/>
      </patternFill>
    </fill>
    <fill>
      <patternFill patternType="solid">
        <fgColor rgb="00D9E1F2"/>
      </patternFill>
    </fill>
    <fill>
      <patternFill patternType="solid">
        <fgColor rgb="00FFF2CC"/>
      </patternFill>
    </fill>
    <fill>
      <patternFill patternType="solid">
        <fgColor rgb="00EAF0FB"/>
      </patternFill>
    </fill>
    <fill>
      <patternFill patternType="solid">
        <fgColor rgb="00FCE4D6"/>
      </patternFill>
    </fill>
    <fill>
      <patternFill patternType="solid">
        <fgColor rgb="00C6EFCE"/>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0">
    <xf numFmtId="0" fontId="0" fillId="0" borderId="0" pivotButton="0" quotePrefix="0" xfId="0"/>
    <xf numFmtId="0" fontId="2" fillId="0" borderId="0" applyAlignment="1" pivotButton="0" quotePrefix="0" xfId="0">
      <alignment vertical="center"/>
    </xf>
    <xf numFmtId="0" fontId="3" fillId="0" borderId="1" applyAlignment="1" pivotButton="0" quotePrefix="0" xfId="0">
      <alignment vertical="center"/>
    </xf>
    <xf numFmtId="0" fontId="3" fillId="0" borderId="2" applyAlignment="1" pivotButton="0" quotePrefix="0" xfId="0">
      <alignment vertical="center"/>
    </xf>
    <xf numFmtId="0" fontId="4" fillId="0" borderId="2" applyAlignment="1" pivotButton="0" quotePrefix="0" xfId="0">
      <alignment vertical="center"/>
    </xf>
    <xf numFmtId="0" fontId="3" fillId="0" borderId="3" applyAlignment="1" pivotButton="0" quotePrefix="0" xfId="0">
      <alignment vertical="center"/>
    </xf>
    <xf numFmtId="0" fontId="5" fillId="0" borderId="4" applyAlignment="1" pivotButton="0" quotePrefix="0" xfId="0">
      <alignment vertical="center"/>
    </xf>
    <xf numFmtId="0" fontId="6" fillId="0" borderId="4" applyAlignment="1" pivotButton="0" quotePrefix="0" xfId="0">
      <alignment vertical="center"/>
    </xf>
    <xf numFmtId="0" fontId="3" fillId="0" borderId="5" applyAlignment="1" pivotButton="0" quotePrefix="0" xfId="0">
      <alignment vertical="center"/>
    </xf>
    <xf numFmtId="0" fontId="7" fillId="0" borderId="6" applyAlignment="1" pivotButton="0" quotePrefix="0" xfId="0">
      <alignment vertical="center"/>
    </xf>
    <xf numFmtId="0" fontId="3" fillId="0" borderId="1" applyAlignment="1" pivotButton="0" quotePrefix="0" xfId="0">
      <alignment vertical="center" wrapText="1"/>
    </xf>
    <xf numFmtId="3" fontId="8" fillId="0" borderId="0" applyAlignment="1" pivotButton="0" quotePrefix="0" xfId="0">
      <alignment horizontal="left"/>
    </xf>
    <xf numFmtId="3" fontId="8" fillId="0" borderId="0" applyAlignment="1" pivotButton="0" quotePrefix="0" xfId="0">
      <alignment horizontal="center"/>
    </xf>
    <xf numFmtId="3" fontId="9" fillId="0" borderId="0" applyAlignment="1" pivotButton="0" quotePrefix="0" xfId="0">
      <alignment horizontal="center"/>
    </xf>
    <xf numFmtId="3" fontId="8" fillId="0" borderId="7" applyAlignment="1" pivotButton="0" quotePrefix="0" xfId="0">
      <alignment horizontal="center"/>
    </xf>
    <xf numFmtId="3" fontId="8" fillId="0" borderId="8" applyAlignment="1" pivotButton="0" quotePrefix="0" xfId="0">
      <alignment horizontal="center"/>
    </xf>
    <xf numFmtId="3" fontId="8" fillId="0" borderId="2" applyAlignment="1" pivotButton="0" quotePrefix="0" xfId="0">
      <alignment horizontal="center"/>
    </xf>
    <xf numFmtId="3" fontId="8" fillId="0" borderId="1" applyAlignment="1" pivotButton="0" quotePrefix="0" xfId="0">
      <alignment horizontal="center"/>
    </xf>
    <xf numFmtId="3" fontId="8" fillId="0" borderId="9" pivotButton="0" quotePrefix="0" xfId="0"/>
    <xf numFmtId="3" fontId="8" fillId="0" borderId="0" pivotButton="0" quotePrefix="0" xfId="0"/>
    <xf numFmtId="3" fontId="8" fillId="0" borderId="3" pivotButton="0" quotePrefix="0" xfId="0"/>
    <xf numFmtId="3" fontId="8" fillId="2" borderId="7" pivotButton="0" quotePrefix="0" xfId="0"/>
    <xf numFmtId="3" fontId="8" fillId="2" borderId="8" pivotButton="0" quotePrefix="0" xfId="0"/>
    <xf numFmtId="3" fontId="8" fillId="2" borderId="1" pivotButton="0" quotePrefix="0" xfId="0"/>
    <xf numFmtId="3" fontId="8" fillId="0" borderId="7" pivotButton="0" quotePrefix="0" xfId="0"/>
    <xf numFmtId="3" fontId="8" fillId="0" borderId="8" pivotButton="0" quotePrefix="0" xfId="0"/>
    <xf numFmtId="3" fontId="8" fillId="0" borderId="1" pivotButton="0" quotePrefix="0" xfId="0"/>
    <xf numFmtId="3" fontId="8" fillId="2" borderId="10" pivotButton="0" quotePrefix="0" xfId="0"/>
    <xf numFmtId="3" fontId="8" fillId="2" borderId="11" pivotButton="0" quotePrefix="0" xfId="0"/>
    <xf numFmtId="3" fontId="8" fillId="2" borderId="5" pivotButton="0" quotePrefix="0" xfId="0"/>
    <xf numFmtId="3" fontId="9" fillId="0" borderId="0" applyAlignment="1" pivotButton="0" quotePrefix="0" xfId="0">
      <alignment horizontal="center"/>
    </xf>
    <xf numFmtId="0" fontId="0" fillId="0" borderId="0" pivotButton="0" quotePrefix="0" xfId="0"/>
    <xf numFmtId="0" fontId="1" fillId="0" borderId="0" applyAlignment="1" pivotButton="0" quotePrefix="0" xfId="0">
      <alignment vertical="center"/>
    </xf>
    <xf numFmtId="0" fontId="11" fillId="0" borderId="0" pivotButton="0" quotePrefix="0" xfId="0"/>
    <xf numFmtId="0" fontId="12" fillId="0" borderId="0" pivotButton="0" quotePrefix="0" xfId="0"/>
    <xf numFmtId="0" fontId="13" fillId="0" borderId="0" pivotButton="0" quotePrefix="0" xfId="0"/>
    <xf numFmtId="0" fontId="14" fillId="3" borderId="12" pivotButton="0" quotePrefix="0" xfId="0"/>
    <xf numFmtId="0" fontId="14" fillId="3" borderId="12" applyAlignment="1" pivotButton="0" quotePrefix="0" xfId="0">
      <alignment horizontal="center"/>
    </xf>
    <xf numFmtId="0" fontId="0" fillId="3" borderId="12" pivotButton="0" quotePrefix="0" xfId="0"/>
    <xf numFmtId="0" fontId="15" fillId="0" borderId="12" pivotButton="0" quotePrefix="0" xfId="0"/>
    <xf numFmtId="0" fontId="0" fillId="0" borderId="12" pivotButton="0" quotePrefix="0" xfId="0"/>
    <xf numFmtId="0" fontId="12" fillId="0" borderId="12" pivotButton="0" quotePrefix="0" xfId="0"/>
    <xf numFmtId="3" fontId="0" fillId="4" borderId="12" pivotButton="0" quotePrefix="0" xfId="0"/>
    <xf numFmtId="3" fontId="0" fillId="0" borderId="12" pivotButton="0" quotePrefix="0" xfId="0"/>
    <xf numFmtId="0" fontId="15" fillId="5" borderId="12" pivotButton="0" quotePrefix="0" xfId="0"/>
    <xf numFmtId="3" fontId="15" fillId="5" borderId="12" pivotButton="0" quotePrefix="0" xfId="0"/>
    <xf numFmtId="0" fontId="15" fillId="6" borderId="12" pivotButton="0" quotePrefix="0" xfId="0"/>
    <xf numFmtId="3" fontId="15" fillId="6" borderId="12" pivotButton="0" quotePrefix="0" xfId="0"/>
    <xf numFmtId="3" fontId="15" fillId="0" borderId="12" pivotButton="0" quotePrefix="0" xfId="0"/>
    <xf numFmtId="3" fontId="0" fillId="7" borderId="12"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eiei-support-plus-a.com/" TargetMode="External" Id="rId1"/><Relationship Type="http://schemas.openxmlformats.org/officeDocument/2006/relationships/hyperlink" Target="https://keiei-support-plus-a.com/sougyou-yuushi/" TargetMode="External" Id="rId2"/><Relationship Type="http://schemas.openxmlformats.org/officeDocument/2006/relationships/hyperlink" Target="https://keiei-support-plus-a.com/kaisha-setsuritsu/" TargetMode="External" Id="rId3"/><Relationship Type="http://schemas.openxmlformats.org/officeDocument/2006/relationships/hyperlink" Target="https://keiei-support-plus-a.com/zeirishi-hiyou/" TargetMode="External" Id="rId4"/></Relationships>
</file>

<file path=xl/worksheets/sheet1.xml><?xml version="1.0" encoding="utf-8"?>
<worksheet xmlns="http://schemas.openxmlformats.org/spreadsheetml/2006/main">
  <sheetPr>
    <outlinePr summaryBelow="0" summaryRight="0"/>
    <pageSetUpPr/>
  </sheetPr>
  <dimension ref="A1:Z1001"/>
  <sheetViews>
    <sheetView showGridLines="0" workbookViewId="0">
      <selection activeCell="A1" sqref="A1:B1"/>
    </sheetView>
  </sheetViews>
  <sheetFormatPr baseColWidth="8" defaultColWidth="12.6328125" defaultRowHeight="15" customHeight="1"/>
  <cols>
    <col width="12.6328125" customWidth="1" style="31" min="1" max="1"/>
    <col width="70.6328125" customWidth="1" style="31" min="2" max="2"/>
    <col width="12.6328125" customWidth="1" style="31" min="3" max="6"/>
  </cols>
  <sheetData>
    <row r="1" ht="27.75" customHeight="1" s="31">
      <c r="A1" s="32" t="inlineStr">
        <is>
          <t>事業計画書フォーマット作成者の情報</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7.75" customHeight="1" s="31">
      <c r="A2" s="2" t="inlineStr">
        <is>
          <t>会社名</t>
        </is>
      </c>
      <c r="B2" s="3" t="inlineStr">
        <is>
          <t>税理士法人経営サポートプラスアルファ</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7.75" customHeight="1" s="31">
      <c r="A3" s="2" t="inlineStr">
        <is>
          <t>公式サイト</t>
        </is>
      </c>
      <c r="B3" s="4" t="inlineStr">
        <is>
          <t>https://keiei-support-plus-a.com/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7.75" customHeight="1" s="31">
      <c r="A4" s="5" t="n"/>
      <c r="B4" s="6" t="inlineStr">
        <is>
          <t>創業融資サポート（料金とサービス内容はコチラ）</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27.75" customHeight="1" s="31">
      <c r="A5" s="5" t="inlineStr">
        <is>
          <t>事業内容</t>
        </is>
      </c>
      <c r="B5" s="7" t="inlineStr">
        <is>
          <t>法人化サポート（料金とサービス内容はコチラ）</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7.75" customHeight="1" s="31">
      <c r="A6" s="8" t="n"/>
      <c r="B6" s="9" t="inlineStr">
        <is>
          <t>顧問税理士（料金とサービス内容はコチラ）</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98.75" customHeight="1" s="31">
      <c r="A7" s="10" t="inlineStr">
        <is>
          <t>メッセージ</t>
        </is>
      </c>
      <c r="B7" s="10" t="inlineStr">
        <is>
          <t xml:space="preserve">
　この事業計画書を手にしたということは融資を受けようとしているタイミングや事業を始めるタイミングなど、何かしらチャレンジしていく状況にあるのかもしれません。
（チャレンジすることは素晴らしいことで、更に言えば致命傷を負わないチャレンジがおすすめです。）
事業を育てていくには大変なことも多いですが、その分やりがいや生きがいにも繋がっていくことと思います。
あなたのビジネスがうまいくいくことを願っております。
税理士法人経営サポートプラスアルファ　</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75" customHeight="1" s="3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75" customHeight="1" s="31">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5.75" customHeight="1" s="3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75" customHeight="1" s="3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s="3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s="3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s="3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s="3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s="3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3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3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3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3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3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3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3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5.75" customHeight="1" s="3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sheetData>
  <mergeCells count="1">
    <mergeCell ref="A1:B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00"/>
  <sheetViews>
    <sheetView workbookViewId="0">
      <selection activeCell="A1" sqref="A1"/>
    </sheetView>
  </sheetViews>
  <sheetFormatPr baseColWidth="8" defaultRowHeight="15"/>
  <cols>
    <col width="46" customWidth="1" style="31" min="1" max="1"/>
    <col width="10" customWidth="1" style="31" min="2" max="2"/>
    <col width="10" customWidth="1" style="31" min="3" max="3"/>
    <col width="10" customWidth="1" style="31" min="4" max="4"/>
    <col width="10" customWidth="1" style="31" min="5" max="5"/>
    <col width="10" customWidth="1" style="31" min="6" max="6"/>
    <col width="10" customWidth="1" style="31" min="7" max="7"/>
    <col width="10" customWidth="1" style="31" min="8" max="8"/>
    <col width="10" customWidth="1" style="31" min="9" max="9"/>
    <col width="10" customWidth="1" style="31" min="10" max="10"/>
    <col width="10" customWidth="1" style="31" min="11" max="11"/>
    <col width="10" customWidth="1" style="31" min="12" max="12"/>
    <col width="10" customWidth="1" style="31" min="13" max="13"/>
    <col width="14" customWidth="1" style="31" min="14" max="14"/>
    <col width="14" customWidth="1" style="31" min="15" max="15"/>
    <col width="14" customWidth="1" style="31" min="16" max="16"/>
  </cols>
  <sheetData>
    <row r="1">
      <c r="A1" s="33" t="inlineStr">
        <is>
          <t>事業主名：ITERRA株式会社／資本金50万円</t>
        </is>
      </c>
      <c r="F1" s="33" t="inlineStr">
        <is>
          <t>事業計画書</t>
        </is>
      </c>
    </row>
    <row r="2">
      <c r="A2" s="34" t="inlineStr">
        <is>
          <t>業種：IT伴走支援（介護業界向け）　経理：税込経理／課税方式は要確認（簡易課税前提）　緑＝実額入力済／黄＝たたき台</t>
        </is>
      </c>
    </row>
    <row r="3">
      <c r="A3" s="35" t="inlineStr">
        <is>
          <t>期：1期=2023/6〜12、以後1〜12月サイクル。本表＝当期4期(2026)/翌期5期(2027)/翌々期6期(2028)。新規受注は2026年8月以降。</t>
        </is>
      </c>
    </row>
    <row r="4">
      <c r="A4" s="36" t="inlineStr">
        <is>
          <t>月</t>
        </is>
      </c>
      <c r="B4" s="37" t="n">
        <v>1</v>
      </c>
      <c r="C4" s="37" t="n">
        <v>2</v>
      </c>
      <c r="D4" s="37" t="n">
        <v>3</v>
      </c>
      <c r="E4" s="37" t="n">
        <v>4</v>
      </c>
      <c r="F4" s="37" t="n">
        <v>5</v>
      </c>
      <c r="G4" s="37" t="n">
        <v>6</v>
      </c>
      <c r="H4" s="37" t="n">
        <v>7</v>
      </c>
      <c r="I4" s="37" t="n">
        <v>8</v>
      </c>
      <c r="J4" s="37" t="n">
        <v>9</v>
      </c>
      <c r="K4" s="37" t="n">
        <v>10</v>
      </c>
      <c r="L4" s="37" t="n">
        <v>11</v>
      </c>
      <c r="M4" s="37" t="n">
        <v>12</v>
      </c>
      <c r="N4" s="37" t="inlineStr">
        <is>
          <t>当期 4期(2026)</t>
        </is>
      </c>
      <c r="O4" s="37" t="inlineStr">
        <is>
          <t>翌期 5期(2027)</t>
        </is>
      </c>
      <c r="P4" s="37" t="inlineStr">
        <is>
          <t>翌々期 6期(2028)</t>
        </is>
      </c>
    </row>
    <row r="5">
      <c r="A5" s="36" t="inlineStr">
        <is>
          <t>【売上の部】</t>
        </is>
      </c>
      <c r="B5" s="38" t="n"/>
      <c r="C5" s="38" t="n"/>
      <c r="D5" s="38" t="n"/>
      <c r="E5" s="38" t="n"/>
      <c r="F5" s="38" t="n"/>
      <c r="G5" s="38" t="n"/>
      <c r="H5" s="38" t="n"/>
      <c r="I5" s="38" t="n"/>
      <c r="J5" s="38" t="n"/>
      <c r="K5" s="38" t="n"/>
      <c r="L5" s="38" t="n"/>
      <c r="M5" s="38" t="n"/>
      <c r="N5" s="38" t="n"/>
      <c r="O5" s="38" t="n"/>
      <c r="P5" s="38" t="n"/>
    </row>
    <row r="6">
      <c r="A6" s="39" t="inlineStr">
        <is>
          <t>① 診断サービス（スポット）</t>
        </is>
      </c>
      <c r="B6" s="40" t="n"/>
      <c r="C6" s="40" t="n"/>
      <c r="D6" s="40" t="n"/>
      <c r="E6" s="40" t="n"/>
      <c r="F6" s="40" t="n"/>
      <c r="G6" s="40" t="n"/>
      <c r="H6" s="40" t="n"/>
      <c r="I6" s="40" t="n"/>
      <c r="J6" s="40" t="n"/>
      <c r="K6" s="40" t="n"/>
      <c r="L6" s="40" t="n"/>
      <c r="M6" s="40" t="n"/>
      <c r="N6" s="40" t="n"/>
      <c r="O6" s="40" t="n"/>
      <c r="P6" s="40" t="n"/>
    </row>
    <row r="7">
      <c r="A7" s="41" t="inlineStr">
        <is>
          <t xml:space="preserve">　立ち上げ（@10万・先着5社）</t>
        </is>
      </c>
      <c r="B7" s="42" t="n">
        <v>0</v>
      </c>
      <c r="C7" s="42" t="n">
        <v>0</v>
      </c>
      <c r="D7" s="42" t="n">
        <v>0</v>
      </c>
      <c r="E7" s="42" t="n">
        <v>0</v>
      </c>
      <c r="F7" s="42" t="n">
        <v>0</v>
      </c>
      <c r="G7" s="42" t="n">
        <v>0</v>
      </c>
      <c r="H7" s="42" t="n">
        <v>0</v>
      </c>
      <c r="I7" s="42" t="n">
        <v>100000</v>
      </c>
      <c r="J7" s="42" t="n">
        <v>100000</v>
      </c>
      <c r="K7" s="42" t="n">
        <v>100000</v>
      </c>
      <c r="L7" s="42" t="n">
        <v>100000</v>
      </c>
      <c r="M7" s="42" t="n">
        <v>0</v>
      </c>
      <c r="N7" s="43">
        <f>SUM(B7:M7)</f>
        <v/>
      </c>
      <c r="O7" s="42" t="n">
        <v>100000</v>
      </c>
      <c r="P7" s="42" t="n">
        <v>0</v>
      </c>
    </row>
    <row r="8">
      <c r="A8" s="41" t="inlineStr">
        <is>
          <t xml:space="preserve">　竹／標準（@30万）</t>
        </is>
      </c>
      <c r="B8" s="42" t="n">
        <v>0</v>
      </c>
      <c r="C8" s="42" t="n">
        <v>0</v>
      </c>
      <c r="D8" s="42" t="n">
        <v>0</v>
      </c>
      <c r="E8" s="42" t="n">
        <v>0</v>
      </c>
      <c r="F8" s="42" t="n">
        <v>0</v>
      </c>
      <c r="G8" s="42" t="n">
        <v>0</v>
      </c>
      <c r="H8" s="42" t="n">
        <v>0</v>
      </c>
      <c r="I8" s="42" t="n">
        <v>0</v>
      </c>
      <c r="J8" s="42" t="n">
        <v>0</v>
      </c>
      <c r="K8" s="42" t="n">
        <v>0</v>
      </c>
      <c r="L8" s="42" t="n">
        <v>0</v>
      </c>
      <c r="M8" s="42" t="n">
        <v>0</v>
      </c>
      <c r="N8" s="43">
        <f>SUM(B8:M8)</f>
        <v/>
      </c>
      <c r="O8" s="42" t="n">
        <v>1800000</v>
      </c>
      <c r="P8" s="42" t="n">
        <v>1200000</v>
      </c>
    </row>
    <row r="9">
      <c r="A9" s="44" t="inlineStr">
        <is>
          <t xml:space="preserve">　診断サービス 小計</t>
        </is>
      </c>
      <c r="B9" s="45">
        <f>B7+B8</f>
        <v/>
      </c>
      <c r="C9" s="45">
        <f>C7+C8</f>
        <v/>
      </c>
      <c r="D9" s="45">
        <f>D7+D8</f>
        <v/>
      </c>
      <c r="E9" s="45">
        <f>E7+E8</f>
        <v/>
      </c>
      <c r="F9" s="45">
        <f>F7+F8</f>
        <v/>
      </c>
      <c r="G9" s="45">
        <f>G7+G8</f>
        <v/>
      </c>
      <c r="H9" s="45">
        <f>H7+H8</f>
        <v/>
      </c>
      <c r="I9" s="45">
        <f>I7+I8</f>
        <v/>
      </c>
      <c r="J9" s="45">
        <f>J7+J8</f>
        <v/>
      </c>
      <c r="K9" s="45">
        <f>K7+K8</f>
        <v/>
      </c>
      <c r="L9" s="45">
        <f>L7+L8</f>
        <v/>
      </c>
      <c r="M9" s="45">
        <f>M7+M8</f>
        <v/>
      </c>
      <c r="N9" s="45">
        <f>N7+N8</f>
        <v/>
      </c>
      <c r="O9" s="45">
        <f>O7+O8</f>
        <v/>
      </c>
      <c r="P9" s="45">
        <f>P7+P8</f>
        <v/>
      </c>
    </row>
    <row r="10">
      <c r="A10" s="39" t="inlineStr">
        <is>
          <t>② 伴走支援（月額固定・準委任）</t>
        </is>
      </c>
      <c r="B10" s="40" t="n"/>
      <c r="C10" s="40" t="n"/>
      <c r="D10" s="40" t="n"/>
      <c r="E10" s="40" t="n"/>
      <c r="F10" s="40" t="n"/>
      <c r="G10" s="40" t="n"/>
      <c r="H10" s="40" t="n"/>
      <c r="I10" s="40" t="n"/>
      <c r="J10" s="40" t="n"/>
      <c r="K10" s="40" t="n"/>
      <c r="L10" s="40" t="n"/>
      <c r="M10" s="40" t="n"/>
      <c r="N10" s="40" t="n"/>
      <c r="O10" s="40" t="n"/>
      <c r="P10" s="40" t="n"/>
    </row>
    <row r="11">
      <c r="A11" s="41" t="inlineStr">
        <is>
          <t xml:space="preserve">　松（週3日相当 @110万）</t>
        </is>
      </c>
      <c r="B11" s="42" t="n">
        <v>0</v>
      </c>
      <c r="C11" s="42" t="n">
        <v>0</v>
      </c>
      <c r="D11" s="42" t="n">
        <v>0</v>
      </c>
      <c r="E11" s="42" t="n">
        <v>0</v>
      </c>
      <c r="F11" s="42" t="n">
        <v>0</v>
      </c>
      <c r="G11" s="42" t="n">
        <v>0</v>
      </c>
      <c r="H11" s="42" t="n">
        <v>0</v>
      </c>
      <c r="I11" s="42" t="n">
        <v>0</v>
      </c>
      <c r="J11" s="42" t="n">
        <v>0</v>
      </c>
      <c r="K11" s="42" t="n">
        <v>0</v>
      </c>
      <c r="L11" s="42" t="n">
        <v>0</v>
      </c>
      <c r="M11" s="42" t="n">
        <v>0</v>
      </c>
      <c r="N11" s="43">
        <f>SUM(B11:M11)</f>
        <v/>
      </c>
      <c r="O11" s="42" t="n">
        <v>0</v>
      </c>
      <c r="P11" s="42" t="n">
        <v>0</v>
      </c>
    </row>
    <row r="12">
      <c r="A12" s="41" t="inlineStr">
        <is>
          <t xml:space="preserve">　竹（週2日相当 @75万）★現行主力</t>
        </is>
      </c>
      <c r="B12" s="42" t="n">
        <v>0</v>
      </c>
      <c r="C12" s="42" t="n">
        <v>0</v>
      </c>
      <c r="D12" s="42" t="n">
        <v>0</v>
      </c>
      <c r="E12" s="42" t="n">
        <v>0</v>
      </c>
      <c r="F12" s="42" t="n">
        <v>0</v>
      </c>
      <c r="G12" s="42" t="n">
        <v>0</v>
      </c>
      <c r="H12" s="42" t="n">
        <v>0</v>
      </c>
      <c r="I12" s="42" t="n">
        <v>0</v>
      </c>
      <c r="J12" s="42" t="n">
        <v>0</v>
      </c>
      <c r="K12" s="42" t="n">
        <v>750000</v>
      </c>
      <c r="L12" s="42" t="n">
        <v>750000</v>
      </c>
      <c r="M12" s="42" t="n">
        <v>1500000</v>
      </c>
      <c r="N12" s="43">
        <f>SUM(B12:M12)</f>
        <v/>
      </c>
      <c r="O12" s="42" t="n">
        <v>18000000</v>
      </c>
      <c r="P12" s="42" t="n">
        <v>18000000</v>
      </c>
    </row>
    <row r="13">
      <c r="A13" s="41" t="inlineStr">
        <is>
          <t xml:space="preserve">　梅（週1日相当 @40万）</t>
        </is>
      </c>
      <c r="B13" s="42" t="n">
        <v>0</v>
      </c>
      <c r="C13" s="42" t="n">
        <v>0</v>
      </c>
      <c r="D13" s="42" t="n">
        <v>0</v>
      </c>
      <c r="E13" s="42" t="n">
        <v>0</v>
      </c>
      <c r="F13" s="42" t="n">
        <v>0</v>
      </c>
      <c r="G13" s="42" t="n">
        <v>0</v>
      </c>
      <c r="H13" s="42" t="n">
        <v>0</v>
      </c>
      <c r="I13" s="42" t="n">
        <v>0</v>
      </c>
      <c r="J13" s="42" t="n">
        <v>0</v>
      </c>
      <c r="K13" s="42" t="n">
        <v>0</v>
      </c>
      <c r="L13" s="42" t="n">
        <v>0</v>
      </c>
      <c r="M13" s="42" t="n">
        <v>0</v>
      </c>
      <c r="N13" s="43">
        <f>SUM(B13:M13)</f>
        <v/>
      </c>
      <c r="O13" s="42" t="n">
        <v>2400000</v>
      </c>
      <c r="P13" s="42" t="n">
        <v>4800000</v>
      </c>
    </row>
    <row r="14">
      <c r="A14" s="41" t="inlineStr">
        <is>
          <t xml:space="preserve">　逓減期（自走移行 @35万）</t>
        </is>
      </c>
      <c r="B14" s="42" t="n">
        <v>0</v>
      </c>
      <c r="C14" s="42" t="n">
        <v>0</v>
      </c>
      <c r="D14" s="42" t="n">
        <v>0</v>
      </c>
      <c r="E14" s="42" t="n">
        <v>0</v>
      </c>
      <c r="F14" s="42" t="n">
        <v>0</v>
      </c>
      <c r="G14" s="42" t="n">
        <v>0</v>
      </c>
      <c r="H14" s="42" t="n">
        <v>0</v>
      </c>
      <c r="I14" s="42" t="n">
        <v>0</v>
      </c>
      <c r="J14" s="42" t="n">
        <v>0</v>
      </c>
      <c r="K14" s="42" t="n">
        <v>0</v>
      </c>
      <c r="L14" s="42" t="n">
        <v>0</v>
      </c>
      <c r="M14" s="42" t="n">
        <v>0</v>
      </c>
      <c r="N14" s="43">
        <f>SUM(B14:M14)</f>
        <v/>
      </c>
      <c r="O14" s="42" t="n">
        <v>1400000</v>
      </c>
      <c r="P14" s="42" t="n">
        <v>2800000</v>
      </c>
    </row>
    <row r="15">
      <c r="A15" s="44" t="inlineStr">
        <is>
          <t xml:space="preserve">　伴走支援 小計</t>
        </is>
      </c>
      <c r="B15" s="45">
        <f>B11+B12+B13+B14</f>
        <v/>
      </c>
      <c r="C15" s="45">
        <f>C11+C12+C13+C14</f>
        <v/>
      </c>
      <c r="D15" s="45">
        <f>D11+D12+D13+D14</f>
        <v/>
      </c>
      <c r="E15" s="45">
        <f>E11+E12+E13+E14</f>
        <v/>
      </c>
      <c r="F15" s="45">
        <f>F11+F12+F13+F14</f>
        <v/>
      </c>
      <c r="G15" s="45">
        <f>G11+G12+G13+G14</f>
        <v/>
      </c>
      <c r="H15" s="45">
        <f>H11+H12+H13+H14</f>
        <v/>
      </c>
      <c r="I15" s="45">
        <f>I11+I12+I13+I14</f>
        <v/>
      </c>
      <c r="J15" s="45">
        <f>J11+J12+J13+J14</f>
        <v/>
      </c>
      <c r="K15" s="45">
        <f>K11+K12+K13+K14</f>
        <v/>
      </c>
      <c r="L15" s="45">
        <f>L11+L12+L13+L14</f>
        <v/>
      </c>
      <c r="M15" s="45">
        <f>M11+M12+M13+M14</f>
        <v/>
      </c>
      <c r="N15" s="45">
        <f>N11+N12+N13+N14</f>
        <v/>
      </c>
      <c r="O15" s="45">
        <f>O11+O12+O13+O14</f>
        <v/>
      </c>
      <c r="P15" s="45">
        <f>P11+P12+P13+P14</f>
        <v/>
      </c>
    </row>
    <row r="16">
      <c r="A16" s="39" t="inlineStr">
        <is>
          <t>③ ライト契約（自走後・継続）</t>
        </is>
      </c>
      <c r="B16" s="40" t="n"/>
      <c r="C16" s="40" t="n"/>
      <c r="D16" s="40" t="n"/>
      <c r="E16" s="40" t="n"/>
      <c r="F16" s="40" t="n"/>
      <c r="G16" s="40" t="n"/>
      <c r="H16" s="40" t="n"/>
      <c r="I16" s="40" t="n"/>
      <c r="J16" s="40" t="n"/>
      <c r="K16" s="40" t="n"/>
      <c r="L16" s="40" t="n"/>
      <c r="M16" s="40" t="n"/>
      <c r="N16" s="40" t="n"/>
      <c r="O16" s="40" t="n"/>
      <c r="P16" s="40" t="n"/>
    </row>
    <row r="17">
      <c r="A17" s="41" t="inlineStr">
        <is>
          <t xml:space="preserve">　ライト（@7万）</t>
        </is>
      </c>
      <c r="B17" s="42" t="n">
        <v>0</v>
      </c>
      <c r="C17" s="42" t="n">
        <v>0</v>
      </c>
      <c r="D17" s="42" t="n">
        <v>0</v>
      </c>
      <c r="E17" s="42" t="n">
        <v>0</v>
      </c>
      <c r="F17" s="42" t="n">
        <v>0</v>
      </c>
      <c r="G17" s="42" t="n">
        <v>0</v>
      </c>
      <c r="H17" s="42" t="n">
        <v>0</v>
      </c>
      <c r="I17" s="42" t="n">
        <v>0</v>
      </c>
      <c r="J17" s="42" t="n">
        <v>0</v>
      </c>
      <c r="K17" s="42" t="n">
        <v>0</v>
      </c>
      <c r="L17" s="42" t="n">
        <v>0</v>
      </c>
      <c r="M17" s="42" t="n">
        <v>0</v>
      </c>
      <c r="N17" s="43">
        <f>SUM(B17:M17)</f>
        <v/>
      </c>
      <c r="O17" s="42" t="n">
        <v>840000</v>
      </c>
      <c r="P17" s="42" t="n">
        <v>1680000</v>
      </c>
    </row>
    <row r="18">
      <c r="A18" s="39" t="inlineStr">
        <is>
          <t>④ 既存受託（立ち上げの土台）</t>
        </is>
      </c>
      <c r="B18" s="40" t="n"/>
      <c r="C18" s="40" t="n"/>
      <c r="D18" s="40" t="n"/>
      <c r="E18" s="40" t="n"/>
      <c r="F18" s="40" t="n"/>
      <c r="G18" s="40" t="n"/>
      <c r="H18" s="40" t="n"/>
      <c r="I18" s="40" t="n"/>
      <c r="J18" s="40" t="n"/>
      <c r="K18" s="40" t="n"/>
      <c r="L18" s="40" t="n"/>
      <c r="M18" s="40" t="n"/>
      <c r="N18" s="40" t="n"/>
      <c r="O18" s="40" t="n"/>
      <c r="P18" s="40" t="n"/>
    </row>
    <row r="19">
      <c r="A19" s="41" t="inlineStr">
        <is>
          <t xml:space="preserve">　既存受託（@40万/月）</t>
        </is>
      </c>
      <c r="B19" s="42" t="n">
        <v>400000</v>
      </c>
      <c r="C19" s="42" t="n">
        <v>400000</v>
      </c>
      <c r="D19" s="42" t="n">
        <v>400000</v>
      </c>
      <c r="E19" s="42" t="n">
        <v>400000</v>
      </c>
      <c r="F19" s="42" t="n">
        <v>400000</v>
      </c>
      <c r="G19" s="42" t="n">
        <v>400000</v>
      </c>
      <c r="H19" s="42" t="n">
        <v>400000</v>
      </c>
      <c r="I19" s="42" t="n">
        <v>400000</v>
      </c>
      <c r="J19" s="42" t="n">
        <v>400000</v>
      </c>
      <c r="K19" s="42" t="n">
        <v>400000</v>
      </c>
      <c r="L19" s="42" t="n">
        <v>400000</v>
      </c>
      <c r="M19" s="42" t="n">
        <v>400000</v>
      </c>
      <c r="N19" s="43">
        <f>SUM(B19:M19)</f>
        <v/>
      </c>
      <c r="O19" s="42" t="n">
        <v>4800000</v>
      </c>
      <c r="P19" s="42" t="n">
        <v>4800000</v>
      </c>
    </row>
    <row r="20">
      <c r="A20" s="46" t="inlineStr">
        <is>
          <t>売上高 合計</t>
        </is>
      </c>
      <c r="B20" s="47">
        <f>B9+B15+B17+B19</f>
        <v/>
      </c>
      <c r="C20" s="47">
        <f>C9+C15+C17+C19</f>
        <v/>
      </c>
      <c r="D20" s="47">
        <f>D9+D15+D17+D19</f>
        <v/>
      </c>
      <c r="E20" s="47">
        <f>E9+E15+E17+E19</f>
        <v/>
      </c>
      <c r="F20" s="47">
        <f>F9+F15+F17+F19</f>
        <v/>
      </c>
      <c r="G20" s="47">
        <f>G9+G15+G17+G19</f>
        <v/>
      </c>
      <c r="H20" s="47">
        <f>H9+H15+H17+H19</f>
        <v/>
      </c>
      <c r="I20" s="47">
        <f>I9+I15+I17+I19</f>
        <v/>
      </c>
      <c r="J20" s="47">
        <f>J9+J15+J17+J19</f>
        <v/>
      </c>
      <c r="K20" s="47">
        <f>K9+K15+K17+K19</f>
        <v/>
      </c>
      <c r="L20" s="47">
        <f>L9+L15+L17+L19</f>
        <v/>
      </c>
      <c r="M20" s="47">
        <f>M9+M15+M17+M19</f>
        <v/>
      </c>
      <c r="N20" s="47">
        <f>N9+N15+N17+N19</f>
        <v/>
      </c>
      <c r="O20" s="47">
        <f>O9+O15+O17+O19</f>
        <v/>
      </c>
      <c r="P20" s="47">
        <f>P9+P15+P17+P19</f>
        <v/>
      </c>
    </row>
    <row r="21">
      <c r="A21" s="41" t="inlineStr">
        <is>
          <t>売上原価（伴走は原価なし）</t>
        </is>
      </c>
      <c r="B21" s="43" t="n">
        <v>0</v>
      </c>
      <c r="C21" s="43" t="n">
        <v>0</v>
      </c>
      <c r="D21" s="43" t="n">
        <v>0</v>
      </c>
      <c r="E21" s="43" t="n">
        <v>0</v>
      </c>
      <c r="F21" s="43" t="n">
        <v>0</v>
      </c>
      <c r="G21" s="43" t="n">
        <v>0</v>
      </c>
      <c r="H21" s="43" t="n">
        <v>0</v>
      </c>
      <c r="I21" s="43" t="n">
        <v>0</v>
      </c>
      <c r="J21" s="43" t="n">
        <v>0</v>
      </c>
      <c r="K21" s="43" t="n">
        <v>0</v>
      </c>
      <c r="L21" s="43" t="n">
        <v>0</v>
      </c>
      <c r="M21" s="43" t="n">
        <v>0</v>
      </c>
      <c r="N21" s="43" t="n">
        <v>0</v>
      </c>
      <c r="O21" s="43" t="n">
        <v>0</v>
      </c>
      <c r="P21" s="43" t="n">
        <v>0</v>
      </c>
    </row>
    <row r="22">
      <c r="A22" s="44" t="inlineStr">
        <is>
          <t>粗利（＝売上高）</t>
        </is>
      </c>
      <c r="B22" s="45">
        <f>B20-B21</f>
        <v/>
      </c>
      <c r="C22" s="45">
        <f>C20-C21</f>
        <v/>
      </c>
      <c r="D22" s="45">
        <f>D20-D21</f>
        <v/>
      </c>
      <c r="E22" s="45">
        <f>E20-E21</f>
        <v/>
      </c>
      <c r="F22" s="45">
        <f>F20-F21</f>
        <v/>
      </c>
      <c r="G22" s="45">
        <f>G20-G21</f>
        <v/>
      </c>
      <c r="H22" s="45">
        <f>H20-H21</f>
        <v/>
      </c>
      <c r="I22" s="45">
        <f>I20-I21</f>
        <v/>
      </c>
      <c r="J22" s="45">
        <f>J20-J21</f>
        <v/>
      </c>
      <c r="K22" s="45">
        <f>K20-K21</f>
        <v/>
      </c>
      <c r="L22" s="45">
        <f>L20-L21</f>
        <v/>
      </c>
      <c r="M22" s="45">
        <f>M20-M21</f>
        <v/>
      </c>
      <c r="N22" s="45">
        <f>N20-N21</f>
        <v/>
      </c>
      <c r="O22" s="45">
        <f>O20-O21</f>
        <v/>
      </c>
      <c r="P22" s="45">
        <f>P20-P21</f>
        <v/>
      </c>
    </row>
    <row r="23">
      <c r="A23" s="36" t="inlineStr">
        <is>
          <t>【販管費の部 — 一般管理費】　※ITERRA勘定科目定義表に準拠</t>
        </is>
      </c>
      <c r="B23" s="38" t="n"/>
      <c r="C23" s="38" t="n"/>
      <c r="D23" s="38" t="n"/>
      <c r="E23" s="38" t="n"/>
      <c r="F23" s="38" t="n"/>
      <c r="G23" s="38" t="n"/>
      <c r="H23" s="38" t="n"/>
      <c r="I23" s="38" t="n"/>
      <c r="J23" s="38" t="n"/>
      <c r="K23" s="38" t="n"/>
      <c r="L23" s="38" t="n"/>
      <c r="M23" s="38" t="n"/>
      <c r="N23" s="38" t="n"/>
      <c r="O23" s="38" t="n"/>
      <c r="P23" s="38" t="n"/>
    </row>
    <row r="24">
      <c r="A24" s="41" t="inlineStr">
        <is>
          <t xml:space="preserve">　役員報酬（@4.5万・定期同額）</t>
        </is>
      </c>
      <c r="B24" s="49" t="n">
        <v>45000</v>
      </c>
      <c r="C24" s="49" t="n">
        <v>45000</v>
      </c>
      <c r="D24" s="49" t="n">
        <v>45000</v>
      </c>
      <c r="E24" s="49" t="n">
        <v>45000</v>
      </c>
      <c r="F24" s="49" t="n">
        <v>45000</v>
      </c>
      <c r="G24" s="49" t="n">
        <v>45000</v>
      </c>
      <c r="H24" s="49" t="n">
        <v>45000</v>
      </c>
      <c r="I24" s="49" t="n">
        <v>45000</v>
      </c>
      <c r="J24" s="49" t="n">
        <v>45000</v>
      </c>
      <c r="K24" s="49" t="n">
        <v>45000</v>
      </c>
      <c r="L24" s="49" t="n">
        <v>45000</v>
      </c>
      <c r="M24" s="49" t="n">
        <v>45000</v>
      </c>
      <c r="N24" s="43">
        <f>SUM(B24:M24)</f>
        <v/>
      </c>
      <c r="O24" s="43">
        <f>N24</f>
        <v/>
      </c>
      <c r="P24" s="43">
        <f>O24</f>
        <v/>
      </c>
    </row>
    <row r="25">
      <c r="A25" s="41" t="inlineStr">
        <is>
          <t xml:space="preserve">　給料手当（アルバイト・税務対策）</t>
        </is>
      </c>
      <c r="B25" s="49" t="n">
        <v>54000</v>
      </c>
      <c r="C25" s="49" t="n">
        <v>54000</v>
      </c>
      <c r="D25" s="49" t="n">
        <v>54000</v>
      </c>
      <c r="E25" s="49" t="n">
        <v>54000</v>
      </c>
      <c r="F25" s="49" t="n">
        <v>54000</v>
      </c>
      <c r="G25" s="49" t="n">
        <v>54000</v>
      </c>
      <c r="H25" s="49" t="n">
        <v>54000</v>
      </c>
      <c r="I25" s="49" t="n">
        <v>54000</v>
      </c>
      <c r="J25" s="49" t="n">
        <v>54000</v>
      </c>
      <c r="K25" s="49" t="n">
        <v>54000</v>
      </c>
      <c r="L25" s="49" t="n">
        <v>54000</v>
      </c>
      <c r="M25" s="49" t="n">
        <v>54000</v>
      </c>
      <c r="N25" s="43">
        <f>SUM(B25:M25)</f>
        <v/>
      </c>
      <c r="O25" s="43">
        <f>N25</f>
        <v/>
      </c>
      <c r="P25" s="43">
        <f>O25</f>
        <v/>
      </c>
    </row>
    <row r="26">
      <c r="A26" s="41" t="inlineStr">
        <is>
          <t xml:space="preserve">　法定福利費（社会保険料・会社負担）</t>
        </is>
      </c>
      <c r="B26" s="49" t="n">
        <v>22133</v>
      </c>
      <c r="C26" s="49" t="n">
        <v>22133</v>
      </c>
      <c r="D26" s="49" t="n">
        <v>22133</v>
      </c>
      <c r="E26" s="49" t="n">
        <v>22133</v>
      </c>
      <c r="F26" s="49" t="n">
        <v>22133</v>
      </c>
      <c r="G26" s="49" t="n">
        <v>22133</v>
      </c>
      <c r="H26" s="49" t="n">
        <v>22133</v>
      </c>
      <c r="I26" s="49" t="n">
        <v>22133</v>
      </c>
      <c r="J26" s="49" t="n">
        <v>22133</v>
      </c>
      <c r="K26" s="49" t="n">
        <v>22133</v>
      </c>
      <c r="L26" s="49" t="n">
        <v>22133</v>
      </c>
      <c r="M26" s="49" t="n">
        <v>22133</v>
      </c>
      <c r="N26" s="43">
        <f>SUM(B26:M26)</f>
        <v/>
      </c>
      <c r="O26" s="43">
        <f>N26</f>
        <v/>
      </c>
      <c r="P26" s="43">
        <f>O26</f>
        <v/>
      </c>
    </row>
    <row r="27">
      <c r="A27" s="41" t="inlineStr">
        <is>
          <t xml:space="preserve">　福利厚生費（健診・慶弔等）</t>
        </is>
      </c>
      <c r="B27" s="42" t="n">
        <v>0</v>
      </c>
      <c r="C27" s="42" t="n">
        <v>0</v>
      </c>
      <c r="D27" s="42" t="n">
        <v>0</v>
      </c>
      <c r="E27" s="42" t="n">
        <v>0</v>
      </c>
      <c r="F27" s="42" t="n">
        <v>0</v>
      </c>
      <c r="G27" s="42" t="n">
        <v>0</v>
      </c>
      <c r="H27" s="42" t="n">
        <v>0</v>
      </c>
      <c r="I27" s="42" t="n">
        <v>0</v>
      </c>
      <c r="J27" s="42" t="n">
        <v>0</v>
      </c>
      <c r="K27" s="42" t="n">
        <v>0</v>
      </c>
      <c r="L27" s="42" t="n">
        <v>0</v>
      </c>
      <c r="M27" s="42" t="n">
        <v>0</v>
      </c>
      <c r="N27" s="43">
        <f>SUM(B27:M27)</f>
        <v/>
      </c>
      <c r="O27" s="43">
        <f>N27</f>
        <v/>
      </c>
      <c r="P27" s="43">
        <f>O27</f>
        <v/>
      </c>
    </row>
    <row r="28">
      <c r="A28" s="44" t="inlineStr">
        <is>
          <t xml:space="preserve">　外注費</t>
        </is>
      </c>
      <c r="B28" s="45">
        <f>SUM(B29:B31)</f>
        <v/>
      </c>
      <c r="C28" s="45">
        <f>SUM(C29:C31)</f>
        <v/>
      </c>
      <c r="D28" s="45">
        <f>SUM(D29:D31)</f>
        <v/>
      </c>
      <c r="E28" s="45">
        <f>SUM(E29:E31)</f>
        <v/>
      </c>
      <c r="F28" s="45">
        <f>SUM(F29:F31)</f>
        <v/>
      </c>
      <c r="G28" s="45">
        <f>SUM(G29:G31)</f>
        <v/>
      </c>
      <c r="H28" s="45">
        <f>SUM(H29:H31)</f>
        <v/>
      </c>
      <c r="I28" s="45">
        <f>SUM(I29:I31)</f>
        <v/>
      </c>
      <c r="J28" s="45">
        <f>SUM(J29:J31)</f>
        <v/>
      </c>
      <c r="K28" s="45">
        <f>SUM(K29:K31)</f>
        <v/>
      </c>
      <c r="L28" s="45">
        <f>SUM(L29:L31)</f>
        <v/>
      </c>
      <c r="M28" s="45">
        <f>SUM(M29:M31)</f>
        <v/>
      </c>
      <c r="N28" s="45">
        <f>SUM(B28:M28)</f>
        <v/>
      </c>
      <c r="O28" s="45">
        <f>N28</f>
        <v/>
      </c>
      <c r="P28" s="45">
        <f>O28</f>
        <v/>
      </c>
    </row>
    <row r="29">
      <c r="A29" s="41" t="inlineStr">
        <is>
          <t xml:space="preserve">　　・制作外注（登録事業者）</t>
        </is>
      </c>
      <c r="B29" s="42" t="n">
        <v>0</v>
      </c>
      <c r="C29" s="42" t="n">
        <v>0</v>
      </c>
      <c r="D29" s="42" t="n">
        <v>0</v>
      </c>
      <c r="E29" s="42" t="n">
        <v>0</v>
      </c>
      <c r="F29" s="42" t="n">
        <v>0</v>
      </c>
      <c r="G29" s="42" t="n">
        <v>0</v>
      </c>
      <c r="H29" s="42" t="n">
        <v>0</v>
      </c>
      <c r="I29" s="42" t="n">
        <v>0</v>
      </c>
      <c r="J29" s="42" t="n">
        <v>0</v>
      </c>
      <c r="K29" s="42" t="n">
        <v>0</v>
      </c>
      <c r="L29" s="42" t="n">
        <v>0</v>
      </c>
      <c r="M29" s="42" t="n">
        <v>0</v>
      </c>
      <c r="N29" s="43">
        <f>SUM(B29:M29)</f>
        <v/>
      </c>
      <c r="O29" s="43">
        <f>N29</f>
        <v/>
      </c>
      <c r="P29" s="43">
        <f>O29</f>
        <v/>
      </c>
    </row>
    <row r="30">
      <c r="A30" s="41" t="inlineStr">
        <is>
          <t xml:space="preserve">　　・制作外注（免税・経過措置〜R8.9）</t>
        </is>
      </c>
      <c r="B30" s="42" t="n">
        <v>0</v>
      </c>
      <c r="C30" s="42" t="n">
        <v>0</v>
      </c>
      <c r="D30" s="42" t="n">
        <v>0</v>
      </c>
      <c r="E30" s="42" t="n">
        <v>0</v>
      </c>
      <c r="F30" s="42" t="n">
        <v>0</v>
      </c>
      <c r="G30" s="42" t="n">
        <v>0</v>
      </c>
      <c r="H30" s="42" t="n">
        <v>0</v>
      </c>
      <c r="I30" s="42" t="n">
        <v>0</v>
      </c>
      <c r="J30" s="42" t="n">
        <v>0</v>
      </c>
      <c r="K30" s="42" t="n">
        <v>0</v>
      </c>
      <c r="L30" s="42" t="n">
        <v>0</v>
      </c>
      <c r="M30" s="42" t="n">
        <v>0</v>
      </c>
      <c r="N30" s="43">
        <f>SUM(B30:M30)</f>
        <v/>
      </c>
      <c r="O30" s="43">
        <f>N30</f>
        <v/>
      </c>
      <c r="P30" s="43">
        <f>O30</f>
        <v/>
      </c>
    </row>
    <row r="31">
      <c r="A31" s="41" t="inlineStr">
        <is>
          <t xml:space="preserve">　　・業務委託（個人・源泉対象）</t>
        </is>
      </c>
      <c r="B31" s="42" t="n">
        <v>0</v>
      </c>
      <c r="C31" s="42" t="n">
        <v>0</v>
      </c>
      <c r="D31" s="42" t="n">
        <v>0</v>
      </c>
      <c r="E31" s="42" t="n">
        <v>0</v>
      </c>
      <c r="F31" s="42" t="n">
        <v>0</v>
      </c>
      <c r="G31" s="42" t="n">
        <v>0</v>
      </c>
      <c r="H31" s="42" t="n">
        <v>0</v>
      </c>
      <c r="I31" s="42" t="n">
        <v>0</v>
      </c>
      <c r="J31" s="42" t="n">
        <v>0</v>
      </c>
      <c r="K31" s="42" t="n">
        <v>0</v>
      </c>
      <c r="L31" s="42" t="n">
        <v>0</v>
      </c>
      <c r="M31" s="42" t="n">
        <v>0</v>
      </c>
      <c r="N31" s="43">
        <f>SUM(B31:M31)</f>
        <v/>
      </c>
      <c r="O31" s="43">
        <f>N31</f>
        <v/>
      </c>
      <c r="P31" s="43">
        <f>O31</f>
        <v/>
      </c>
    </row>
    <row r="32">
      <c r="A32" s="44" t="inlineStr">
        <is>
          <t xml:space="preserve">　通信費</t>
        </is>
      </c>
      <c r="B32" s="45">
        <f>SUM(B33:B36)</f>
        <v/>
      </c>
      <c r="C32" s="45">
        <f>SUM(C33:C36)</f>
        <v/>
      </c>
      <c r="D32" s="45">
        <f>SUM(D33:D36)</f>
        <v/>
      </c>
      <c r="E32" s="45">
        <f>SUM(E33:E36)</f>
        <v/>
      </c>
      <c r="F32" s="45">
        <f>SUM(F33:F36)</f>
        <v/>
      </c>
      <c r="G32" s="45">
        <f>SUM(G33:G36)</f>
        <v/>
      </c>
      <c r="H32" s="45">
        <f>SUM(H33:H36)</f>
        <v/>
      </c>
      <c r="I32" s="45">
        <f>SUM(I33:I36)</f>
        <v/>
      </c>
      <c r="J32" s="45">
        <f>SUM(J33:J36)</f>
        <v/>
      </c>
      <c r="K32" s="45">
        <f>SUM(K33:K36)</f>
        <v/>
      </c>
      <c r="L32" s="45">
        <f>SUM(L33:L36)</f>
        <v/>
      </c>
      <c r="M32" s="45">
        <f>SUM(M33:M36)</f>
        <v/>
      </c>
      <c r="N32" s="45">
        <f>SUM(B32:M32)</f>
        <v/>
      </c>
      <c r="O32" s="45">
        <f>N32</f>
        <v/>
      </c>
      <c r="P32" s="45">
        <f>O32</f>
        <v/>
      </c>
    </row>
    <row r="33">
      <c r="A33" s="41" t="inlineStr">
        <is>
          <t xml:space="preserve">　　・携帯電話①（080・ドコモ）</t>
        </is>
      </c>
      <c r="B33" s="49" t="n">
        <v>3720</v>
      </c>
      <c r="C33" s="49" t="n">
        <v>3720</v>
      </c>
      <c r="D33" s="49" t="n">
        <v>3720</v>
      </c>
      <c r="E33" s="49" t="n">
        <v>3720</v>
      </c>
      <c r="F33" s="49" t="n">
        <v>3720</v>
      </c>
      <c r="G33" s="49" t="n">
        <v>3720</v>
      </c>
      <c r="H33" s="49" t="n">
        <v>3720</v>
      </c>
      <c r="I33" s="49" t="n">
        <v>3720</v>
      </c>
      <c r="J33" s="49" t="n">
        <v>3720</v>
      </c>
      <c r="K33" s="49" t="n">
        <v>3720</v>
      </c>
      <c r="L33" s="49" t="n">
        <v>3720</v>
      </c>
      <c r="M33" s="49" t="n">
        <v>3720</v>
      </c>
      <c r="N33" s="43">
        <f>SUM(B33:M33)</f>
        <v/>
      </c>
      <c r="O33" s="43">
        <f>N33</f>
        <v/>
      </c>
      <c r="P33" s="43">
        <f>O33</f>
        <v/>
      </c>
    </row>
    <row r="34">
      <c r="A34" s="41" t="inlineStr">
        <is>
          <t xml:space="preserve">　　・携帯電話②（090）</t>
        </is>
      </c>
      <c r="B34" s="49" t="n">
        <v>5000</v>
      </c>
      <c r="C34" s="49" t="n">
        <v>5000</v>
      </c>
      <c r="D34" s="49" t="n">
        <v>5000</v>
      </c>
      <c r="E34" s="49" t="n">
        <v>5000</v>
      </c>
      <c r="F34" s="49" t="n">
        <v>5000</v>
      </c>
      <c r="G34" s="49" t="n">
        <v>5000</v>
      </c>
      <c r="H34" s="49" t="n">
        <v>5000</v>
      </c>
      <c r="I34" s="49" t="n">
        <v>5000</v>
      </c>
      <c r="J34" s="49" t="n">
        <v>5000</v>
      </c>
      <c r="K34" s="49" t="n">
        <v>5000</v>
      </c>
      <c r="L34" s="49" t="n">
        <v>5000</v>
      </c>
      <c r="M34" s="49" t="n">
        <v>5000</v>
      </c>
      <c r="N34" s="43">
        <f>SUM(B34:M34)</f>
        <v/>
      </c>
      <c r="O34" s="43">
        <f>N34</f>
        <v/>
      </c>
      <c r="P34" s="43">
        <f>O34</f>
        <v/>
      </c>
    </row>
    <row r="35">
      <c r="A35" s="41" t="inlineStr">
        <is>
          <t xml:space="preserve">　　・インターネット・光回線</t>
        </is>
      </c>
      <c r="B35" s="49" t="n">
        <v>4500</v>
      </c>
      <c r="C35" s="49" t="n">
        <v>4500</v>
      </c>
      <c r="D35" s="49" t="n">
        <v>4500</v>
      </c>
      <c r="E35" s="49" t="n">
        <v>4500</v>
      </c>
      <c r="F35" s="49" t="n">
        <v>4500</v>
      </c>
      <c r="G35" s="49" t="n">
        <v>4500</v>
      </c>
      <c r="H35" s="49" t="n">
        <v>4500</v>
      </c>
      <c r="I35" s="49" t="n">
        <v>4500</v>
      </c>
      <c r="J35" s="49" t="n">
        <v>4500</v>
      </c>
      <c r="K35" s="49" t="n">
        <v>4500</v>
      </c>
      <c r="L35" s="49" t="n">
        <v>4500</v>
      </c>
      <c r="M35" s="49" t="n">
        <v>4500</v>
      </c>
      <c r="N35" s="43">
        <f>SUM(B35:M35)</f>
        <v/>
      </c>
      <c r="O35" s="43">
        <f>N35</f>
        <v/>
      </c>
      <c r="P35" s="43">
        <f>O35</f>
        <v/>
      </c>
    </row>
    <row r="36">
      <c r="A36" s="41" t="inlineStr">
        <is>
          <t xml:space="preserve">　　・サーバー・ドメイン（エックスサーバー等・要確認）</t>
        </is>
      </c>
      <c r="B36" s="42" t="n">
        <v>10000</v>
      </c>
      <c r="C36" s="42" t="n">
        <v>10000</v>
      </c>
      <c r="D36" s="42" t="n">
        <v>10000</v>
      </c>
      <c r="E36" s="42" t="n">
        <v>10000</v>
      </c>
      <c r="F36" s="42" t="n">
        <v>10000</v>
      </c>
      <c r="G36" s="42" t="n">
        <v>10000</v>
      </c>
      <c r="H36" s="42" t="n">
        <v>10000</v>
      </c>
      <c r="I36" s="42" t="n">
        <v>10000</v>
      </c>
      <c r="J36" s="42" t="n">
        <v>10000</v>
      </c>
      <c r="K36" s="42" t="n">
        <v>10000</v>
      </c>
      <c r="L36" s="42" t="n">
        <v>10000</v>
      </c>
      <c r="M36" s="42" t="n">
        <v>10000</v>
      </c>
      <c r="N36" s="43">
        <f>SUM(B36:M36)</f>
        <v/>
      </c>
      <c r="O36" s="43">
        <f>N36</f>
        <v/>
      </c>
      <c r="P36" s="43">
        <f>O36</f>
        <v/>
      </c>
    </row>
    <row r="37">
      <c r="A37" s="44" t="inlineStr">
        <is>
          <t xml:space="preserve">　ソフトウェア利用料</t>
        </is>
      </c>
      <c r="B37" s="45">
        <f>SUM(B38:B43)</f>
        <v/>
      </c>
      <c r="C37" s="45">
        <f>SUM(C38:C43)</f>
        <v/>
      </c>
      <c r="D37" s="45">
        <f>SUM(D38:D43)</f>
        <v/>
      </c>
      <c r="E37" s="45">
        <f>SUM(E38:E43)</f>
        <v/>
      </c>
      <c r="F37" s="45">
        <f>SUM(F38:F43)</f>
        <v/>
      </c>
      <c r="G37" s="45">
        <f>SUM(G38:G43)</f>
        <v/>
      </c>
      <c r="H37" s="45">
        <f>SUM(H38:H43)</f>
        <v/>
      </c>
      <c r="I37" s="45">
        <f>SUM(I38:I43)</f>
        <v/>
      </c>
      <c r="J37" s="45">
        <f>SUM(J38:J43)</f>
        <v/>
      </c>
      <c r="K37" s="45">
        <f>SUM(K38:K43)</f>
        <v/>
      </c>
      <c r="L37" s="45">
        <f>SUM(L38:L43)</f>
        <v/>
      </c>
      <c r="M37" s="45">
        <f>SUM(M38:M43)</f>
        <v/>
      </c>
      <c r="N37" s="45">
        <f>SUM(B37:M37)</f>
        <v/>
      </c>
      <c r="O37" s="45">
        <f>N37</f>
        <v/>
      </c>
      <c r="P37" s="45">
        <f>O37</f>
        <v/>
      </c>
    </row>
    <row r="38">
      <c r="A38" s="41" t="inlineStr">
        <is>
          <t xml:space="preserve">　　・グループウェア（Google Workspace）</t>
        </is>
      </c>
      <c r="B38" s="49" t="n">
        <v>3520</v>
      </c>
      <c r="C38" s="49" t="n">
        <v>3520</v>
      </c>
      <c r="D38" s="49" t="n">
        <v>3520</v>
      </c>
      <c r="E38" s="49" t="n">
        <v>3520</v>
      </c>
      <c r="F38" s="49" t="n">
        <v>3520</v>
      </c>
      <c r="G38" s="49" t="n">
        <v>3520</v>
      </c>
      <c r="H38" s="49" t="n">
        <v>3520</v>
      </c>
      <c r="I38" s="49" t="n">
        <v>3520</v>
      </c>
      <c r="J38" s="49" t="n">
        <v>3520</v>
      </c>
      <c r="K38" s="49" t="n">
        <v>3520</v>
      </c>
      <c r="L38" s="49" t="n">
        <v>3520</v>
      </c>
      <c r="M38" s="49" t="n">
        <v>3520</v>
      </c>
      <c r="N38" s="43">
        <f>SUM(B38:M38)</f>
        <v/>
      </c>
      <c r="O38" s="43">
        <f>N38</f>
        <v/>
      </c>
      <c r="P38" s="43">
        <f>O38</f>
        <v/>
      </c>
    </row>
    <row r="39">
      <c r="A39" s="41" t="inlineStr">
        <is>
          <t xml:space="preserve">　　・生成AI（Claude）</t>
        </is>
      </c>
      <c r="B39" s="49" t="n">
        <v>18309</v>
      </c>
      <c r="C39" s="49" t="n">
        <v>18309</v>
      </c>
      <c r="D39" s="49" t="n">
        <v>18309</v>
      </c>
      <c r="E39" s="49" t="n">
        <v>18309</v>
      </c>
      <c r="F39" s="49" t="n">
        <v>18309</v>
      </c>
      <c r="G39" s="49" t="n">
        <v>18309</v>
      </c>
      <c r="H39" s="49" t="n">
        <v>18309</v>
      </c>
      <c r="I39" s="49" t="n">
        <v>18309</v>
      </c>
      <c r="J39" s="49" t="n">
        <v>18309</v>
      </c>
      <c r="K39" s="49" t="n">
        <v>18309</v>
      </c>
      <c r="L39" s="49" t="n">
        <v>18309</v>
      </c>
      <c r="M39" s="49" t="n">
        <v>18309</v>
      </c>
      <c r="N39" s="43">
        <f>SUM(B39:M39)</f>
        <v/>
      </c>
      <c r="O39" s="43">
        <f>N39</f>
        <v/>
      </c>
      <c r="P39" s="43">
        <f>O39</f>
        <v/>
      </c>
    </row>
    <row r="40">
      <c r="A40" s="41" t="inlineStr">
        <is>
          <t xml:space="preserve">　　・YouTube Premium</t>
        </is>
      </c>
      <c r="B40" s="49" t="n">
        <v>1280</v>
      </c>
      <c r="C40" s="49" t="n">
        <v>1280</v>
      </c>
      <c r="D40" s="49" t="n">
        <v>1280</v>
      </c>
      <c r="E40" s="49" t="n">
        <v>1280</v>
      </c>
      <c r="F40" s="49" t="n">
        <v>1280</v>
      </c>
      <c r="G40" s="49" t="n">
        <v>1280</v>
      </c>
      <c r="H40" s="49" t="n">
        <v>1280</v>
      </c>
      <c r="I40" s="49" t="n">
        <v>1280</v>
      </c>
      <c r="J40" s="49" t="n">
        <v>1280</v>
      </c>
      <c r="K40" s="49" t="n">
        <v>1280</v>
      </c>
      <c r="L40" s="49" t="n">
        <v>1280</v>
      </c>
      <c r="M40" s="49" t="n">
        <v>1280</v>
      </c>
      <c r="N40" s="43">
        <f>SUM(B40:M40)</f>
        <v/>
      </c>
      <c r="O40" s="43">
        <f>N40</f>
        <v/>
      </c>
      <c r="P40" s="43">
        <f>O40</f>
        <v/>
      </c>
    </row>
    <row r="41">
      <c r="A41" s="41" t="inlineStr">
        <is>
          <t xml:space="preserve">　　・コミュニケーション（Zoom/Slack/Chatwork・要確認）</t>
        </is>
      </c>
      <c r="B41" s="42" t="n">
        <v>0</v>
      </c>
      <c r="C41" s="42" t="n">
        <v>0</v>
      </c>
      <c r="D41" s="42" t="n">
        <v>0</v>
      </c>
      <c r="E41" s="42" t="n">
        <v>0</v>
      </c>
      <c r="F41" s="42" t="n">
        <v>0</v>
      </c>
      <c r="G41" s="42" t="n">
        <v>0</v>
      </c>
      <c r="H41" s="42" t="n">
        <v>0</v>
      </c>
      <c r="I41" s="42" t="n">
        <v>0</v>
      </c>
      <c r="J41" s="42" t="n">
        <v>0</v>
      </c>
      <c r="K41" s="42" t="n">
        <v>0</v>
      </c>
      <c r="L41" s="42" t="n">
        <v>0</v>
      </c>
      <c r="M41" s="42" t="n">
        <v>0</v>
      </c>
      <c r="N41" s="43">
        <f>SUM(B41:M41)</f>
        <v/>
      </c>
      <c r="O41" s="43">
        <f>N41</f>
        <v/>
      </c>
      <c r="P41" s="43">
        <f>O41</f>
        <v/>
      </c>
    </row>
    <row r="42">
      <c r="A42" s="41" t="inlineStr">
        <is>
          <t xml:space="preserve">　　・ストレージ・その他SaaS（Dropbox等・要確認）</t>
        </is>
      </c>
      <c r="B42" s="42" t="n">
        <v>0</v>
      </c>
      <c r="C42" s="42" t="n">
        <v>0</v>
      </c>
      <c r="D42" s="42" t="n">
        <v>0</v>
      </c>
      <c r="E42" s="42" t="n">
        <v>0</v>
      </c>
      <c r="F42" s="42" t="n">
        <v>0</v>
      </c>
      <c r="G42" s="42" t="n">
        <v>0</v>
      </c>
      <c r="H42" s="42" t="n">
        <v>0</v>
      </c>
      <c r="I42" s="42" t="n">
        <v>0</v>
      </c>
      <c r="J42" s="42" t="n">
        <v>0</v>
      </c>
      <c r="K42" s="42" t="n">
        <v>0</v>
      </c>
      <c r="L42" s="42" t="n">
        <v>0</v>
      </c>
      <c r="M42" s="42" t="n">
        <v>0</v>
      </c>
      <c r="N42" s="43">
        <f>SUM(B42:M42)</f>
        <v/>
      </c>
      <c r="O42" s="43">
        <f>N42</f>
        <v/>
      </c>
      <c r="P42" s="43">
        <f>O42</f>
        <v/>
      </c>
    </row>
    <row r="43">
      <c r="A43" s="41" t="inlineStr">
        <is>
          <t xml:space="preserve">　　・ITA IFS CORP（650USD/月・要特定）</t>
        </is>
      </c>
      <c r="B43" s="42" t="n">
        <v>0</v>
      </c>
      <c r="C43" s="42" t="n">
        <v>0</v>
      </c>
      <c r="D43" s="42" t="n">
        <v>0</v>
      </c>
      <c r="E43" s="42" t="n">
        <v>0</v>
      </c>
      <c r="F43" s="42" t="n">
        <v>0</v>
      </c>
      <c r="G43" s="42" t="n">
        <v>0</v>
      </c>
      <c r="H43" s="42" t="n">
        <v>0</v>
      </c>
      <c r="I43" s="42" t="n">
        <v>0</v>
      </c>
      <c r="J43" s="42" t="n">
        <v>0</v>
      </c>
      <c r="K43" s="42" t="n">
        <v>0</v>
      </c>
      <c r="L43" s="42" t="n">
        <v>0</v>
      </c>
      <c r="M43" s="42" t="n">
        <v>0</v>
      </c>
      <c r="N43" s="43">
        <f>SUM(B43:M43)</f>
        <v/>
      </c>
      <c r="O43" s="43">
        <f>N43</f>
        <v/>
      </c>
      <c r="P43" s="43">
        <f>O43</f>
        <v/>
      </c>
    </row>
    <row r="44">
      <c r="A44" s="44" t="inlineStr">
        <is>
          <t xml:space="preserve">　支払報酬料</t>
        </is>
      </c>
      <c r="B44" s="45">
        <f>SUM(B45:B46)</f>
        <v/>
      </c>
      <c r="C44" s="45">
        <f>SUM(C45:C46)</f>
        <v/>
      </c>
      <c r="D44" s="45">
        <f>SUM(D45:D46)</f>
        <v/>
      </c>
      <c r="E44" s="45">
        <f>SUM(E45:E46)</f>
        <v/>
      </c>
      <c r="F44" s="45">
        <f>SUM(F45:F46)</f>
        <v/>
      </c>
      <c r="G44" s="45">
        <f>SUM(G45:G46)</f>
        <v/>
      </c>
      <c r="H44" s="45">
        <f>SUM(H45:H46)</f>
        <v/>
      </c>
      <c r="I44" s="45">
        <f>SUM(I45:I46)</f>
        <v/>
      </c>
      <c r="J44" s="45">
        <f>SUM(J45:J46)</f>
        <v/>
      </c>
      <c r="K44" s="45">
        <f>SUM(K45:K46)</f>
        <v/>
      </c>
      <c r="L44" s="45">
        <f>SUM(L45:L46)</f>
        <v/>
      </c>
      <c r="M44" s="45">
        <f>SUM(M45:M46)</f>
        <v/>
      </c>
      <c r="N44" s="45">
        <f>SUM(B44:M44)</f>
        <v/>
      </c>
      <c r="O44" s="45">
        <f>N44</f>
        <v/>
      </c>
      <c r="P44" s="45">
        <f>O44</f>
        <v/>
      </c>
    </row>
    <row r="45">
      <c r="A45" s="41" t="inlineStr">
        <is>
          <t xml:space="preserve">　　・税理士・会計士（顧問料）</t>
        </is>
      </c>
      <c r="B45" s="49" t="n">
        <v>16500</v>
      </c>
      <c r="C45" s="49" t="n">
        <v>16500</v>
      </c>
      <c r="D45" s="49" t="n">
        <v>16500</v>
      </c>
      <c r="E45" s="49" t="n">
        <v>16500</v>
      </c>
      <c r="F45" s="49" t="n">
        <v>16500</v>
      </c>
      <c r="G45" s="49" t="n">
        <v>16500</v>
      </c>
      <c r="H45" s="49" t="n">
        <v>16500</v>
      </c>
      <c r="I45" s="49" t="n">
        <v>16500</v>
      </c>
      <c r="J45" s="49" t="n">
        <v>16500</v>
      </c>
      <c r="K45" s="49" t="n">
        <v>16500</v>
      </c>
      <c r="L45" s="49" t="n">
        <v>16500</v>
      </c>
      <c r="M45" s="49" t="n">
        <v>16500</v>
      </c>
      <c r="N45" s="43">
        <f>SUM(B45:M45)</f>
        <v/>
      </c>
      <c r="O45" s="43">
        <f>N45</f>
        <v/>
      </c>
      <c r="P45" s="43">
        <f>O45</f>
        <v/>
      </c>
    </row>
    <row r="46">
      <c r="A46" s="41" t="inlineStr">
        <is>
          <t xml:space="preserve">　　・その他士業（司法/社労/弁護等）</t>
        </is>
      </c>
      <c r="B46" s="42" t="n">
        <v>0</v>
      </c>
      <c r="C46" s="42" t="n">
        <v>0</v>
      </c>
      <c r="D46" s="42" t="n">
        <v>0</v>
      </c>
      <c r="E46" s="42" t="n">
        <v>0</v>
      </c>
      <c r="F46" s="42" t="n">
        <v>0</v>
      </c>
      <c r="G46" s="42" t="n">
        <v>0</v>
      </c>
      <c r="H46" s="42" t="n">
        <v>0</v>
      </c>
      <c r="I46" s="42" t="n">
        <v>0</v>
      </c>
      <c r="J46" s="42" t="n">
        <v>0</v>
      </c>
      <c r="K46" s="42" t="n">
        <v>0</v>
      </c>
      <c r="L46" s="42" t="n">
        <v>0</v>
      </c>
      <c r="M46" s="42" t="n">
        <v>0</v>
      </c>
      <c r="N46" s="43">
        <f>SUM(B46:M46)</f>
        <v/>
      </c>
      <c r="O46" s="43">
        <f>N46</f>
        <v/>
      </c>
      <c r="P46" s="43">
        <f>O46</f>
        <v/>
      </c>
    </row>
    <row r="47">
      <c r="A47" s="44" t="inlineStr">
        <is>
          <t xml:space="preserve">　地代家賃</t>
        </is>
      </c>
      <c r="B47" s="45">
        <f>SUM(B48:B51)</f>
        <v/>
      </c>
      <c r="C47" s="45">
        <f>SUM(C48:C51)</f>
        <v/>
      </c>
      <c r="D47" s="45">
        <f>SUM(D48:D51)</f>
        <v/>
      </c>
      <c r="E47" s="45">
        <f>SUM(E48:E51)</f>
        <v/>
      </c>
      <c r="F47" s="45">
        <f>SUM(F48:F51)</f>
        <v/>
      </c>
      <c r="G47" s="45">
        <f>SUM(G48:G51)</f>
        <v/>
      </c>
      <c r="H47" s="45">
        <f>SUM(H48:H51)</f>
        <v/>
      </c>
      <c r="I47" s="45">
        <f>SUM(I48:I51)</f>
        <v/>
      </c>
      <c r="J47" s="45">
        <f>SUM(J48:J51)</f>
        <v/>
      </c>
      <c r="K47" s="45">
        <f>SUM(K48:K51)</f>
        <v/>
      </c>
      <c r="L47" s="45">
        <f>SUM(L48:L51)</f>
        <v/>
      </c>
      <c r="M47" s="45">
        <f>SUM(M48:M51)</f>
        <v/>
      </c>
      <c r="N47" s="45">
        <f>SUM(B47:M47)</f>
        <v/>
      </c>
      <c r="O47" s="45">
        <f>N47</f>
        <v/>
      </c>
      <c r="P47" s="45">
        <f>O47</f>
        <v/>
      </c>
    </row>
    <row r="48">
      <c r="A48" s="41" t="inlineStr">
        <is>
          <t xml:space="preserve">　　・役員社宅（純額・本人負担の有無は要確認）</t>
        </is>
      </c>
      <c r="B48" s="49" t="n">
        <v>179550</v>
      </c>
      <c r="C48" s="49" t="n">
        <v>179550</v>
      </c>
      <c r="D48" s="49" t="n">
        <v>179550</v>
      </c>
      <c r="E48" s="49" t="n">
        <v>179550</v>
      </c>
      <c r="F48" s="49" t="n">
        <v>179550</v>
      </c>
      <c r="G48" s="49" t="n">
        <v>179550</v>
      </c>
      <c r="H48" s="49" t="n">
        <v>179550</v>
      </c>
      <c r="I48" s="49" t="n">
        <v>179550</v>
      </c>
      <c r="J48" s="49" t="n">
        <v>179550</v>
      </c>
      <c r="K48" s="49" t="n">
        <v>179550</v>
      </c>
      <c r="L48" s="49" t="n">
        <v>179550</v>
      </c>
      <c r="M48" s="49" t="n">
        <v>179550</v>
      </c>
      <c r="N48" s="43">
        <f>SUM(B48:M48)</f>
        <v/>
      </c>
      <c r="O48" s="43">
        <f>N48</f>
        <v/>
      </c>
      <c r="P48" s="43">
        <f>O48</f>
        <v/>
      </c>
    </row>
    <row r="49">
      <c r="A49" s="41" t="inlineStr">
        <is>
          <t xml:space="preserve">　　・バーチャルオフィス（レゾナンス等）</t>
        </is>
      </c>
      <c r="B49" s="42" t="n">
        <v>0</v>
      </c>
      <c r="C49" s="42" t="n">
        <v>0</v>
      </c>
      <c r="D49" s="42" t="n">
        <v>0</v>
      </c>
      <c r="E49" s="42" t="n">
        <v>0</v>
      </c>
      <c r="F49" s="42" t="n">
        <v>0</v>
      </c>
      <c r="G49" s="42" t="n">
        <v>0</v>
      </c>
      <c r="H49" s="42" t="n">
        <v>0</v>
      </c>
      <c r="I49" s="42" t="n">
        <v>0</v>
      </c>
      <c r="J49" s="42" t="n">
        <v>0</v>
      </c>
      <c r="K49" s="42" t="n">
        <v>0</v>
      </c>
      <c r="L49" s="42" t="n">
        <v>0</v>
      </c>
      <c r="M49" s="42" t="n">
        <v>0</v>
      </c>
      <c r="N49" s="43">
        <f>SUM(B49:M49)</f>
        <v/>
      </c>
      <c r="O49" s="43">
        <f>N49</f>
        <v/>
      </c>
      <c r="P49" s="43">
        <f>O49</f>
        <v/>
      </c>
    </row>
    <row r="50">
      <c r="A50" s="41" t="inlineStr">
        <is>
          <t xml:space="preserve">　　・コワーキング月額（BIZ SPOT/IIOFFICE）</t>
        </is>
      </c>
      <c r="B50" s="42" t="n">
        <v>0</v>
      </c>
      <c r="C50" s="42" t="n">
        <v>0</v>
      </c>
      <c r="D50" s="42" t="n">
        <v>0</v>
      </c>
      <c r="E50" s="42" t="n">
        <v>0</v>
      </c>
      <c r="F50" s="42" t="n">
        <v>0</v>
      </c>
      <c r="G50" s="42" t="n">
        <v>0</v>
      </c>
      <c r="H50" s="42" t="n">
        <v>0</v>
      </c>
      <c r="I50" s="42" t="n">
        <v>0</v>
      </c>
      <c r="J50" s="42" t="n">
        <v>0</v>
      </c>
      <c r="K50" s="42" t="n">
        <v>0</v>
      </c>
      <c r="L50" s="42" t="n">
        <v>0</v>
      </c>
      <c r="M50" s="42" t="n">
        <v>0</v>
      </c>
      <c r="N50" s="43">
        <f>SUM(B50:M50)</f>
        <v/>
      </c>
      <c r="O50" s="43">
        <f>N50</f>
        <v/>
      </c>
      <c r="P50" s="43">
        <f>O50</f>
        <v/>
      </c>
    </row>
    <row r="51">
      <c r="A51" s="41" t="inlineStr">
        <is>
          <t xml:space="preserve">　　・自宅事務所按分</t>
        </is>
      </c>
      <c r="B51" s="42" t="n">
        <v>0</v>
      </c>
      <c r="C51" s="42" t="n">
        <v>0</v>
      </c>
      <c r="D51" s="42" t="n">
        <v>0</v>
      </c>
      <c r="E51" s="42" t="n">
        <v>0</v>
      </c>
      <c r="F51" s="42" t="n">
        <v>0</v>
      </c>
      <c r="G51" s="42" t="n">
        <v>0</v>
      </c>
      <c r="H51" s="42" t="n">
        <v>0</v>
      </c>
      <c r="I51" s="42" t="n">
        <v>0</v>
      </c>
      <c r="J51" s="42" t="n">
        <v>0</v>
      </c>
      <c r="K51" s="42" t="n">
        <v>0</v>
      </c>
      <c r="L51" s="42" t="n">
        <v>0</v>
      </c>
      <c r="M51" s="42" t="n">
        <v>0</v>
      </c>
      <c r="N51" s="43">
        <f>SUM(B51:M51)</f>
        <v/>
      </c>
      <c r="O51" s="43">
        <f>N51</f>
        <v/>
      </c>
      <c r="P51" s="43">
        <f>O51</f>
        <v/>
      </c>
    </row>
    <row r="52">
      <c r="A52" s="44" t="inlineStr">
        <is>
          <t xml:space="preserve">　水道光熱費</t>
        </is>
      </c>
      <c r="B52" s="45">
        <f>SUM(B53:B54)</f>
        <v/>
      </c>
      <c r="C52" s="45">
        <f>SUM(C53:C54)</f>
        <v/>
      </c>
      <c r="D52" s="45">
        <f>SUM(D53:D54)</f>
        <v/>
      </c>
      <c r="E52" s="45">
        <f>SUM(E53:E54)</f>
        <v/>
      </c>
      <c r="F52" s="45">
        <f>SUM(F53:F54)</f>
        <v/>
      </c>
      <c r="G52" s="45">
        <f>SUM(G53:G54)</f>
        <v/>
      </c>
      <c r="H52" s="45">
        <f>SUM(H53:H54)</f>
        <v/>
      </c>
      <c r="I52" s="45">
        <f>SUM(I53:I54)</f>
        <v/>
      </c>
      <c r="J52" s="45">
        <f>SUM(J53:J54)</f>
        <v/>
      </c>
      <c r="K52" s="45">
        <f>SUM(K53:K54)</f>
        <v/>
      </c>
      <c r="L52" s="45">
        <f>SUM(L53:L54)</f>
        <v/>
      </c>
      <c r="M52" s="45">
        <f>SUM(M53:M54)</f>
        <v/>
      </c>
      <c r="N52" s="45">
        <f>SUM(B52:M52)</f>
        <v/>
      </c>
      <c r="O52" s="45">
        <f>N52</f>
        <v/>
      </c>
      <c r="P52" s="45">
        <f>O52</f>
        <v/>
      </c>
    </row>
    <row r="53">
      <c r="A53" s="41" t="inlineStr">
        <is>
          <t xml:space="preserve">　　・電気・水道・ガス（合算・内訳は後日）</t>
        </is>
      </c>
      <c r="B53" s="49" t="n">
        <v>15000</v>
      </c>
      <c r="C53" s="49" t="n">
        <v>15000</v>
      </c>
      <c r="D53" s="49" t="n">
        <v>15000</v>
      </c>
      <c r="E53" s="49" t="n">
        <v>15000</v>
      </c>
      <c r="F53" s="49" t="n">
        <v>15000</v>
      </c>
      <c r="G53" s="49" t="n">
        <v>15000</v>
      </c>
      <c r="H53" s="49" t="n">
        <v>15000</v>
      </c>
      <c r="I53" s="49" t="n">
        <v>15000</v>
      </c>
      <c r="J53" s="49" t="n">
        <v>15000</v>
      </c>
      <c r="K53" s="49" t="n">
        <v>15000</v>
      </c>
      <c r="L53" s="49" t="n">
        <v>15000</v>
      </c>
      <c r="M53" s="49" t="n">
        <v>15000</v>
      </c>
      <c r="N53" s="43">
        <f>SUM(B53:M53)</f>
        <v/>
      </c>
      <c r="O53" s="43">
        <f>N53</f>
        <v/>
      </c>
      <c r="P53" s="43">
        <f>O53</f>
        <v/>
      </c>
    </row>
    <row r="54">
      <c r="A54" s="41" t="inlineStr">
        <is>
          <t xml:space="preserve">　　・（内訳分割用・予備）</t>
        </is>
      </c>
      <c r="B54" s="42" t="n">
        <v>0</v>
      </c>
      <c r="C54" s="42" t="n">
        <v>0</v>
      </c>
      <c r="D54" s="42" t="n">
        <v>0</v>
      </c>
      <c r="E54" s="42" t="n">
        <v>0</v>
      </c>
      <c r="F54" s="42" t="n">
        <v>0</v>
      </c>
      <c r="G54" s="42" t="n">
        <v>0</v>
      </c>
      <c r="H54" s="42" t="n">
        <v>0</v>
      </c>
      <c r="I54" s="42" t="n">
        <v>0</v>
      </c>
      <c r="J54" s="42" t="n">
        <v>0</v>
      </c>
      <c r="K54" s="42" t="n">
        <v>0</v>
      </c>
      <c r="L54" s="42" t="n">
        <v>0</v>
      </c>
      <c r="M54" s="42" t="n">
        <v>0</v>
      </c>
      <c r="N54" s="43">
        <f>SUM(B54:M54)</f>
        <v/>
      </c>
      <c r="O54" s="43">
        <f>N54</f>
        <v/>
      </c>
      <c r="P54" s="43">
        <f>O54</f>
        <v/>
      </c>
    </row>
    <row r="55">
      <c r="A55" s="41" t="inlineStr">
        <is>
          <t xml:space="preserve">　新聞図書費（書籍・有料情報）</t>
        </is>
      </c>
      <c r="B55" s="42" t="n">
        <v>0</v>
      </c>
      <c r="C55" s="42" t="n">
        <v>0</v>
      </c>
      <c r="D55" s="42" t="n">
        <v>0</v>
      </c>
      <c r="E55" s="42" t="n">
        <v>0</v>
      </c>
      <c r="F55" s="42" t="n">
        <v>0</v>
      </c>
      <c r="G55" s="42" t="n">
        <v>0</v>
      </c>
      <c r="H55" s="42" t="n">
        <v>0</v>
      </c>
      <c r="I55" s="42" t="n">
        <v>0</v>
      </c>
      <c r="J55" s="42" t="n">
        <v>0</v>
      </c>
      <c r="K55" s="42" t="n">
        <v>0</v>
      </c>
      <c r="L55" s="42" t="n">
        <v>0</v>
      </c>
      <c r="M55" s="42" t="n">
        <v>0</v>
      </c>
      <c r="N55" s="43">
        <f>SUM(B55:M55)</f>
        <v/>
      </c>
      <c r="O55" s="43">
        <f>N55</f>
        <v/>
      </c>
      <c r="P55" s="43">
        <f>O55</f>
        <v/>
      </c>
    </row>
    <row r="56">
      <c r="A56" s="44" t="inlineStr">
        <is>
          <t xml:space="preserve">　消耗品費</t>
        </is>
      </c>
      <c r="B56" s="45">
        <f>SUM(B57:B58)</f>
        <v/>
      </c>
      <c r="C56" s="45">
        <f>SUM(C57:C58)</f>
        <v/>
      </c>
      <c r="D56" s="45">
        <f>SUM(D57:D58)</f>
        <v/>
      </c>
      <c r="E56" s="45">
        <f>SUM(E57:E58)</f>
        <v/>
      </c>
      <c r="F56" s="45">
        <f>SUM(F57:F58)</f>
        <v/>
      </c>
      <c r="G56" s="45">
        <f>SUM(G57:G58)</f>
        <v/>
      </c>
      <c r="H56" s="45">
        <f>SUM(H57:H58)</f>
        <v/>
      </c>
      <c r="I56" s="45">
        <f>SUM(I57:I58)</f>
        <v/>
      </c>
      <c r="J56" s="45">
        <f>SUM(J57:J58)</f>
        <v/>
      </c>
      <c r="K56" s="45">
        <f>SUM(K57:K58)</f>
        <v/>
      </c>
      <c r="L56" s="45">
        <f>SUM(L57:L58)</f>
        <v/>
      </c>
      <c r="M56" s="45">
        <f>SUM(M57:M58)</f>
        <v/>
      </c>
      <c r="N56" s="45">
        <f>SUM(B56:M56)</f>
        <v/>
      </c>
      <c r="O56" s="45">
        <f>N56</f>
        <v/>
      </c>
      <c r="P56" s="45">
        <f>O56</f>
        <v/>
      </c>
    </row>
    <row r="57">
      <c r="A57" s="41" t="inlineStr">
        <is>
          <t xml:space="preserve">　　・事務用品</t>
        </is>
      </c>
      <c r="B57" s="42" t="n">
        <v>5000</v>
      </c>
      <c r="C57" s="42" t="n">
        <v>5000</v>
      </c>
      <c r="D57" s="42" t="n">
        <v>5000</v>
      </c>
      <c r="E57" s="42" t="n">
        <v>5000</v>
      </c>
      <c r="F57" s="42" t="n">
        <v>5000</v>
      </c>
      <c r="G57" s="42" t="n">
        <v>5000</v>
      </c>
      <c r="H57" s="42" t="n">
        <v>5000</v>
      </c>
      <c r="I57" s="42" t="n">
        <v>5000</v>
      </c>
      <c r="J57" s="42" t="n">
        <v>5000</v>
      </c>
      <c r="K57" s="42" t="n">
        <v>5000</v>
      </c>
      <c r="L57" s="42" t="n">
        <v>5000</v>
      </c>
      <c r="M57" s="42" t="n">
        <v>5000</v>
      </c>
      <c r="N57" s="43">
        <f>SUM(B57:M57)</f>
        <v/>
      </c>
      <c r="O57" s="43">
        <f>N57</f>
        <v/>
      </c>
      <c r="P57" s="43">
        <f>O57</f>
        <v/>
      </c>
    </row>
    <row r="58">
      <c r="A58" s="41" t="inlineStr">
        <is>
          <t xml:space="preserve">　　・PC周辺・少額機器（10万未満）</t>
        </is>
      </c>
      <c r="B58" s="42" t="n">
        <v>0</v>
      </c>
      <c r="C58" s="42" t="n">
        <v>0</v>
      </c>
      <c r="D58" s="42" t="n">
        <v>0</v>
      </c>
      <c r="E58" s="42" t="n">
        <v>0</v>
      </c>
      <c r="F58" s="42" t="n">
        <v>0</v>
      </c>
      <c r="G58" s="42" t="n">
        <v>0</v>
      </c>
      <c r="H58" s="42" t="n">
        <v>0</v>
      </c>
      <c r="I58" s="42" t="n">
        <v>0</v>
      </c>
      <c r="J58" s="42" t="n">
        <v>0</v>
      </c>
      <c r="K58" s="42" t="n">
        <v>0</v>
      </c>
      <c r="L58" s="42" t="n">
        <v>0</v>
      </c>
      <c r="M58" s="42" t="n">
        <v>0</v>
      </c>
      <c r="N58" s="43">
        <f>SUM(B58:M58)</f>
        <v/>
      </c>
      <c r="O58" s="43">
        <f>N58</f>
        <v/>
      </c>
      <c r="P58" s="43">
        <f>O58</f>
        <v/>
      </c>
    </row>
    <row r="59">
      <c r="A59" s="41" t="inlineStr">
        <is>
          <t xml:space="preserve">　諸会費（同業団体等）</t>
        </is>
      </c>
      <c r="B59" s="42" t="n">
        <v>0</v>
      </c>
      <c r="C59" s="42" t="n">
        <v>0</v>
      </c>
      <c r="D59" s="42" t="n">
        <v>0</v>
      </c>
      <c r="E59" s="42" t="n">
        <v>0</v>
      </c>
      <c r="F59" s="42" t="n">
        <v>0</v>
      </c>
      <c r="G59" s="42" t="n">
        <v>0</v>
      </c>
      <c r="H59" s="42" t="n">
        <v>0</v>
      </c>
      <c r="I59" s="42" t="n">
        <v>0</v>
      </c>
      <c r="J59" s="42" t="n">
        <v>0</v>
      </c>
      <c r="K59" s="42" t="n">
        <v>0</v>
      </c>
      <c r="L59" s="42" t="n">
        <v>0</v>
      </c>
      <c r="M59" s="42" t="n">
        <v>0</v>
      </c>
      <c r="N59" s="43">
        <f>SUM(B59:M59)</f>
        <v/>
      </c>
      <c r="O59" s="43">
        <f>N59</f>
        <v/>
      </c>
      <c r="P59" s="43">
        <f>O59</f>
        <v/>
      </c>
    </row>
    <row r="60">
      <c r="A60" s="41" t="inlineStr">
        <is>
          <t xml:space="preserve">　租税公課（印紙/登録免許税/消費税納付）</t>
        </is>
      </c>
      <c r="B60" s="42" t="n">
        <v>0</v>
      </c>
      <c r="C60" s="42" t="n">
        <v>0</v>
      </c>
      <c r="D60" s="42" t="n">
        <v>0</v>
      </c>
      <c r="E60" s="42" t="n">
        <v>0</v>
      </c>
      <c r="F60" s="42" t="n">
        <v>0</v>
      </c>
      <c r="G60" s="42" t="n">
        <v>0</v>
      </c>
      <c r="H60" s="42" t="n">
        <v>0</v>
      </c>
      <c r="I60" s="42" t="n">
        <v>0</v>
      </c>
      <c r="J60" s="42" t="n">
        <v>0</v>
      </c>
      <c r="K60" s="42" t="n">
        <v>0</v>
      </c>
      <c r="L60" s="42" t="n">
        <v>0</v>
      </c>
      <c r="M60" s="42" t="n">
        <v>0</v>
      </c>
      <c r="N60" s="43">
        <f>SUM(B60:M60)</f>
        <v/>
      </c>
      <c r="O60" s="43">
        <f>N60</f>
        <v/>
      </c>
      <c r="P60" s="43">
        <f>O60</f>
        <v/>
      </c>
    </row>
    <row r="61">
      <c r="A61" s="41" t="inlineStr">
        <is>
          <t xml:space="preserve">　減価償却費（固定資産）</t>
        </is>
      </c>
      <c r="B61" s="42" t="n">
        <v>0</v>
      </c>
      <c r="C61" s="42" t="n">
        <v>0</v>
      </c>
      <c r="D61" s="42" t="n">
        <v>0</v>
      </c>
      <c r="E61" s="42" t="n">
        <v>0</v>
      </c>
      <c r="F61" s="42" t="n">
        <v>0</v>
      </c>
      <c r="G61" s="42" t="n">
        <v>0</v>
      </c>
      <c r="H61" s="42" t="n">
        <v>0</v>
      </c>
      <c r="I61" s="42" t="n">
        <v>0</v>
      </c>
      <c r="J61" s="42" t="n">
        <v>0</v>
      </c>
      <c r="K61" s="42" t="n">
        <v>0</v>
      </c>
      <c r="L61" s="42" t="n">
        <v>0</v>
      </c>
      <c r="M61" s="42" t="n">
        <v>0</v>
      </c>
      <c r="N61" s="43">
        <f>SUM(B61:M61)</f>
        <v/>
      </c>
      <c r="O61" s="43">
        <f>N61</f>
        <v/>
      </c>
      <c r="P61" s="43">
        <f>O61</f>
        <v/>
      </c>
    </row>
    <row r="62">
      <c r="A62" s="41" t="inlineStr">
        <is>
          <t xml:space="preserve">　雑費（原則不使用）</t>
        </is>
      </c>
      <c r="B62" s="42" t="n">
        <v>0</v>
      </c>
      <c r="C62" s="42" t="n">
        <v>0</v>
      </c>
      <c r="D62" s="42" t="n">
        <v>0</v>
      </c>
      <c r="E62" s="42" t="n">
        <v>0</v>
      </c>
      <c r="F62" s="42" t="n">
        <v>0</v>
      </c>
      <c r="G62" s="42" t="n">
        <v>0</v>
      </c>
      <c r="H62" s="42" t="n">
        <v>0</v>
      </c>
      <c r="I62" s="42" t="n">
        <v>0</v>
      </c>
      <c r="J62" s="42" t="n">
        <v>0</v>
      </c>
      <c r="K62" s="42" t="n">
        <v>0</v>
      </c>
      <c r="L62" s="42" t="n">
        <v>0</v>
      </c>
      <c r="M62" s="42" t="n">
        <v>0</v>
      </c>
      <c r="N62" s="43">
        <f>SUM(B62:M62)</f>
        <v/>
      </c>
      <c r="O62" s="43">
        <f>N62</f>
        <v/>
      </c>
      <c r="P62" s="43">
        <f>O62</f>
        <v/>
      </c>
    </row>
    <row r="63">
      <c r="A63" s="44" t="inlineStr">
        <is>
          <t xml:space="preserve">　一般管理費 小計</t>
        </is>
      </c>
      <c r="B63" s="45">
        <f>B24+B25+B26+B27+B28+B32+B37+B44+B47+B52+B55+B56+B59+B60+B61+B62</f>
        <v/>
      </c>
      <c r="C63" s="45">
        <f>C24+C25+C26+C27+C28+C32+C37+C44+C47+C52+C55+C56+C59+C60+C61+C62</f>
        <v/>
      </c>
      <c r="D63" s="45">
        <f>D24+D25+D26+D27+D28+D32+D37+D44+D47+D52+D55+D56+D59+D60+D61+D62</f>
        <v/>
      </c>
      <c r="E63" s="45">
        <f>E24+E25+E26+E27+E28+E32+E37+E44+E47+E52+E55+E56+E59+E60+E61+E62</f>
        <v/>
      </c>
      <c r="F63" s="45">
        <f>F24+F25+F26+F27+F28+F32+F37+F44+F47+F52+F55+F56+F59+F60+F61+F62</f>
        <v/>
      </c>
      <c r="G63" s="45">
        <f>G24+G25+G26+G27+G28+G32+G37+G44+G47+G52+G55+G56+G59+G60+G61+G62</f>
        <v/>
      </c>
      <c r="H63" s="45">
        <f>H24+H25+H26+H27+H28+H32+H37+H44+H47+H52+H55+H56+H59+H60+H61+H62</f>
        <v/>
      </c>
      <c r="I63" s="45">
        <f>I24+I25+I26+I27+I28+I32+I37+I44+I47+I52+I55+I56+I59+I60+I61+I62</f>
        <v/>
      </c>
      <c r="J63" s="45">
        <f>J24+J25+J26+J27+J28+J32+J37+J44+J47+J52+J55+J56+J59+J60+J61+J62</f>
        <v/>
      </c>
      <c r="K63" s="45">
        <f>K24+K25+K26+K27+K28+K32+K37+K44+K47+K52+K55+K56+K59+K60+K61+K62</f>
        <v/>
      </c>
      <c r="L63" s="45">
        <f>L24+L25+L26+L27+L28+L32+L37+L44+L47+L52+L55+L56+L59+L60+L61+L62</f>
        <v/>
      </c>
      <c r="M63" s="45">
        <f>M24+M25+M26+M27+M28+M32+M37+M44+M47+M52+M55+M56+M59+M60+M61+M62</f>
        <v/>
      </c>
      <c r="N63" s="45">
        <f>N24+N25+N26+N27+N28+N32+N37+N44+N47+N52+N55+N56+N59+N60+N61+N62</f>
        <v/>
      </c>
      <c r="O63" s="45">
        <f>O24+O25+O26+O27+O28+O32+O37+O44+O47+O52+O55+O56+O59+O60+O61+O62</f>
        <v/>
      </c>
      <c r="P63" s="45">
        <f>P24+P25+P26+P27+P28+P32+P37+P44+P47+P52+P55+P56+P59+P60+P61+P62</f>
        <v/>
      </c>
    </row>
    <row r="64">
      <c r="A64" s="36" t="inlineStr">
        <is>
          <t>【販管費の部 — 販売費】</t>
        </is>
      </c>
      <c r="B64" s="38" t="n"/>
      <c r="C64" s="38" t="n"/>
      <c r="D64" s="38" t="n"/>
      <c r="E64" s="38" t="n"/>
      <c r="F64" s="38" t="n"/>
      <c r="G64" s="38" t="n"/>
      <c r="H64" s="38" t="n"/>
      <c r="I64" s="38" t="n"/>
      <c r="J64" s="38" t="n"/>
      <c r="K64" s="38" t="n"/>
      <c r="L64" s="38" t="n"/>
      <c r="M64" s="38" t="n"/>
      <c r="N64" s="38" t="n"/>
      <c r="O64" s="38" t="n"/>
      <c r="P64" s="38" t="n"/>
    </row>
    <row r="65">
      <c r="A65" s="41" t="inlineStr">
        <is>
          <t xml:space="preserve">　広告宣伝費（登壇/発信/印刷物）</t>
        </is>
      </c>
      <c r="B65" s="42" t="n">
        <v>0</v>
      </c>
      <c r="C65" s="42" t="n">
        <v>0</v>
      </c>
      <c r="D65" s="42" t="n">
        <v>0</v>
      </c>
      <c r="E65" s="42" t="n">
        <v>0</v>
      </c>
      <c r="F65" s="42" t="n">
        <v>0</v>
      </c>
      <c r="G65" s="42" t="n">
        <v>0</v>
      </c>
      <c r="H65" s="42" t="n">
        <v>0</v>
      </c>
      <c r="I65" s="42" t="n">
        <v>0</v>
      </c>
      <c r="J65" s="42" t="n">
        <v>0</v>
      </c>
      <c r="K65" s="42" t="n">
        <v>0</v>
      </c>
      <c r="L65" s="42" t="n">
        <v>0</v>
      </c>
      <c r="M65" s="42" t="n">
        <v>0</v>
      </c>
      <c r="N65" s="43">
        <f>SUM(B65:M65)</f>
        <v/>
      </c>
      <c r="O65" s="43">
        <f>N65</f>
        <v/>
      </c>
      <c r="P65" s="43">
        <f>O65</f>
        <v/>
      </c>
    </row>
    <row r="66">
      <c r="A66" s="44" t="inlineStr">
        <is>
          <t xml:space="preserve">　旅費交通費</t>
        </is>
      </c>
      <c r="B66" s="45">
        <f>SUM(B67:B71)</f>
        <v/>
      </c>
      <c r="C66" s="45">
        <f>SUM(C67:C71)</f>
        <v/>
      </c>
      <c r="D66" s="45">
        <f>SUM(D67:D71)</f>
        <v/>
      </c>
      <c r="E66" s="45">
        <f>SUM(E67:E71)</f>
        <v/>
      </c>
      <c r="F66" s="45">
        <f>SUM(F67:F71)</f>
        <v/>
      </c>
      <c r="G66" s="45">
        <f>SUM(G67:G71)</f>
        <v/>
      </c>
      <c r="H66" s="45">
        <f>SUM(H67:H71)</f>
        <v/>
      </c>
      <c r="I66" s="45">
        <f>SUM(I67:I71)</f>
        <v/>
      </c>
      <c r="J66" s="45">
        <f>SUM(J67:J71)</f>
        <v/>
      </c>
      <c r="K66" s="45">
        <f>SUM(K67:K71)</f>
        <v/>
      </c>
      <c r="L66" s="45">
        <f>SUM(L67:L71)</f>
        <v/>
      </c>
      <c r="M66" s="45">
        <f>SUM(M67:M71)</f>
        <v/>
      </c>
      <c r="N66" s="45">
        <f>SUM(B66:M66)</f>
        <v/>
      </c>
      <c r="O66" s="45">
        <f>N66</f>
        <v/>
      </c>
      <c r="P66" s="45">
        <f>O66</f>
        <v/>
      </c>
    </row>
    <row r="67">
      <c r="A67" s="41" t="inlineStr">
        <is>
          <t xml:space="preserve">　　・電車・新幹線（えきねっと/スマートEX/Suica）</t>
        </is>
      </c>
      <c r="B67" s="42" t="n">
        <v>0</v>
      </c>
      <c r="C67" s="42" t="n">
        <v>0</v>
      </c>
      <c r="D67" s="42" t="n">
        <v>0</v>
      </c>
      <c r="E67" s="42" t="n">
        <v>0</v>
      </c>
      <c r="F67" s="42" t="n">
        <v>0</v>
      </c>
      <c r="G67" s="42" t="n">
        <v>0</v>
      </c>
      <c r="H67" s="42" t="n">
        <v>0</v>
      </c>
      <c r="I67" s="42" t="n">
        <v>0</v>
      </c>
      <c r="J67" s="42" t="n">
        <v>0</v>
      </c>
      <c r="K67" s="42" t="n">
        <v>0</v>
      </c>
      <c r="L67" s="42" t="n">
        <v>0</v>
      </c>
      <c r="M67" s="42" t="n">
        <v>0</v>
      </c>
      <c r="N67" s="43">
        <f>SUM(B67:M67)</f>
        <v/>
      </c>
      <c r="O67" s="43">
        <f>N67</f>
        <v/>
      </c>
      <c r="P67" s="43">
        <f>O67</f>
        <v/>
      </c>
    </row>
    <row r="68">
      <c r="A68" s="41" t="inlineStr">
        <is>
          <t xml:space="preserve">　　・タクシー・配車（UBER/GO）</t>
        </is>
      </c>
      <c r="B68" s="42" t="n">
        <v>0</v>
      </c>
      <c r="C68" s="42" t="n">
        <v>0</v>
      </c>
      <c r="D68" s="42" t="n">
        <v>0</v>
      </c>
      <c r="E68" s="42" t="n">
        <v>0</v>
      </c>
      <c r="F68" s="42" t="n">
        <v>0</v>
      </c>
      <c r="G68" s="42" t="n">
        <v>0</v>
      </c>
      <c r="H68" s="42" t="n">
        <v>0</v>
      </c>
      <c r="I68" s="42" t="n">
        <v>0</v>
      </c>
      <c r="J68" s="42" t="n">
        <v>0</v>
      </c>
      <c r="K68" s="42" t="n">
        <v>0</v>
      </c>
      <c r="L68" s="42" t="n">
        <v>0</v>
      </c>
      <c r="M68" s="42" t="n">
        <v>0</v>
      </c>
      <c r="N68" s="43">
        <f>SUM(B68:M68)</f>
        <v/>
      </c>
      <c r="O68" s="43">
        <f>N68</f>
        <v/>
      </c>
      <c r="P68" s="43">
        <f>O68</f>
        <v/>
      </c>
    </row>
    <row r="69">
      <c r="A69" s="41" t="inlineStr">
        <is>
          <t xml:space="preserve">　　・シェアサイクル（LUUP）</t>
        </is>
      </c>
      <c r="B69" s="42" t="n">
        <v>0</v>
      </c>
      <c r="C69" s="42" t="n">
        <v>0</v>
      </c>
      <c r="D69" s="42" t="n">
        <v>0</v>
      </c>
      <c r="E69" s="42" t="n">
        <v>0</v>
      </c>
      <c r="F69" s="42" t="n">
        <v>0</v>
      </c>
      <c r="G69" s="42" t="n">
        <v>0</v>
      </c>
      <c r="H69" s="42" t="n">
        <v>0</v>
      </c>
      <c r="I69" s="42" t="n">
        <v>0</v>
      </c>
      <c r="J69" s="42" t="n">
        <v>0</v>
      </c>
      <c r="K69" s="42" t="n">
        <v>0</v>
      </c>
      <c r="L69" s="42" t="n">
        <v>0</v>
      </c>
      <c r="M69" s="42" t="n">
        <v>0</v>
      </c>
      <c r="N69" s="43">
        <f>SUM(B69:M69)</f>
        <v/>
      </c>
      <c r="O69" s="43">
        <f>N69</f>
        <v/>
      </c>
      <c r="P69" s="43">
        <f>O69</f>
        <v/>
      </c>
    </row>
    <row r="70">
      <c r="A70" s="41" t="inlineStr">
        <is>
          <t xml:space="preserve">　　・宿泊費（出張）</t>
        </is>
      </c>
      <c r="B70" s="42" t="n">
        <v>0</v>
      </c>
      <c r="C70" s="42" t="n">
        <v>0</v>
      </c>
      <c r="D70" s="42" t="n">
        <v>0</v>
      </c>
      <c r="E70" s="42" t="n">
        <v>0</v>
      </c>
      <c r="F70" s="42" t="n">
        <v>0</v>
      </c>
      <c r="G70" s="42" t="n">
        <v>0</v>
      </c>
      <c r="H70" s="42" t="n">
        <v>0</v>
      </c>
      <c r="I70" s="42" t="n">
        <v>0</v>
      </c>
      <c r="J70" s="42" t="n">
        <v>0</v>
      </c>
      <c r="K70" s="42" t="n">
        <v>0</v>
      </c>
      <c r="L70" s="42" t="n">
        <v>0</v>
      </c>
      <c r="M70" s="42" t="n">
        <v>0</v>
      </c>
      <c r="N70" s="43">
        <f>SUM(B70:M70)</f>
        <v/>
      </c>
      <c r="O70" s="43">
        <f>N70</f>
        <v/>
      </c>
      <c r="P70" s="43">
        <f>O70</f>
        <v/>
      </c>
    </row>
    <row r="71">
      <c r="A71" s="41" t="inlineStr">
        <is>
          <t xml:space="preserve">　　・レンタカー・その他</t>
        </is>
      </c>
      <c r="B71" s="42" t="n">
        <v>0</v>
      </c>
      <c r="C71" s="42" t="n">
        <v>0</v>
      </c>
      <c r="D71" s="42" t="n">
        <v>0</v>
      </c>
      <c r="E71" s="42" t="n">
        <v>0</v>
      </c>
      <c r="F71" s="42" t="n">
        <v>0</v>
      </c>
      <c r="G71" s="42" t="n">
        <v>0</v>
      </c>
      <c r="H71" s="42" t="n">
        <v>0</v>
      </c>
      <c r="I71" s="42" t="n">
        <v>0</v>
      </c>
      <c r="J71" s="42" t="n">
        <v>0</v>
      </c>
      <c r="K71" s="42" t="n">
        <v>0</v>
      </c>
      <c r="L71" s="42" t="n">
        <v>0</v>
      </c>
      <c r="M71" s="42" t="n">
        <v>0</v>
      </c>
      <c r="N71" s="43">
        <f>SUM(B71:M71)</f>
        <v/>
      </c>
      <c r="O71" s="43">
        <f>N71</f>
        <v/>
      </c>
      <c r="P71" s="43">
        <f>O71</f>
        <v/>
      </c>
    </row>
    <row r="72">
      <c r="A72" s="44" t="inlineStr">
        <is>
          <t xml:space="preserve">　会議費</t>
        </is>
      </c>
      <c r="B72" s="45">
        <f>SUM(B73:B74)</f>
        <v/>
      </c>
      <c r="C72" s="45">
        <f>SUM(C73:C74)</f>
        <v/>
      </c>
      <c r="D72" s="45">
        <f>SUM(D73:D74)</f>
        <v/>
      </c>
      <c r="E72" s="45">
        <f>SUM(E73:E74)</f>
        <v/>
      </c>
      <c r="F72" s="45">
        <f>SUM(F73:F74)</f>
        <v/>
      </c>
      <c r="G72" s="45">
        <f>SUM(G73:G74)</f>
        <v/>
      </c>
      <c r="H72" s="45">
        <f>SUM(H73:H74)</f>
        <v/>
      </c>
      <c r="I72" s="45">
        <f>SUM(I73:I74)</f>
        <v/>
      </c>
      <c r="J72" s="45">
        <f>SUM(J73:J74)</f>
        <v/>
      </c>
      <c r="K72" s="45">
        <f>SUM(K73:K74)</f>
        <v/>
      </c>
      <c r="L72" s="45">
        <f>SUM(L73:L74)</f>
        <v/>
      </c>
      <c r="M72" s="45">
        <f>SUM(M73:M74)</f>
        <v/>
      </c>
      <c r="N72" s="45">
        <f>SUM(B72:M72)</f>
        <v/>
      </c>
      <c r="O72" s="45">
        <f>N72</f>
        <v/>
      </c>
      <c r="P72" s="45">
        <f>O72</f>
        <v/>
      </c>
    </row>
    <row r="73">
      <c r="A73" s="41" t="inlineStr">
        <is>
          <t xml:space="preserve">　　・打合せ飲食（1人1万円以下）</t>
        </is>
      </c>
      <c r="B73" s="42" t="n">
        <v>0</v>
      </c>
      <c r="C73" s="42" t="n">
        <v>0</v>
      </c>
      <c r="D73" s="42" t="n">
        <v>0</v>
      </c>
      <c r="E73" s="42" t="n">
        <v>0</v>
      </c>
      <c r="F73" s="42" t="n">
        <v>0</v>
      </c>
      <c r="G73" s="42" t="n">
        <v>0</v>
      </c>
      <c r="H73" s="42" t="n">
        <v>0</v>
      </c>
      <c r="I73" s="42" t="n">
        <v>0</v>
      </c>
      <c r="J73" s="42" t="n">
        <v>0</v>
      </c>
      <c r="K73" s="42" t="n">
        <v>0</v>
      </c>
      <c r="L73" s="42" t="n">
        <v>0</v>
      </c>
      <c r="M73" s="42" t="n">
        <v>0</v>
      </c>
      <c r="N73" s="43">
        <f>SUM(B73:M73)</f>
        <v/>
      </c>
      <c r="O73" s="43">
        <f>N73</f>
        <v/>
      </c>
      <c r="P73" s="43">
        <f>O73</f>
        <v/>
      </c>
    </row>
    <row r="74">
      <c r="A74" s="41" t="inlineStr">
        <is>
          <t xml:space="preserve">　　・会場・スペース利用（都度）</t>
        </is>
      </c>
      <c r="B74" s="42" t="n">
        <v>0</v>
      </c>
      <c r="C74" s="42" t="n">
        <v>0</v>
      </c>
      <c r="D74" s="42" t="n">
        <v>0</v>
      </c>
      <c r="E74" s="42" t="n">
        <v>0</v>
      </c>
      <c r="F74" s="42" t="n">
        <v>0</v>
      </c>
      <c r="G74" s="42" t="n">
        <v>0</v>
      </c>
      <c r="H74" s="42" t="n">
        <v>0</v>
      </c>
      <c r="I74" s="42" t="n">
        <v>0</v>
      </c>
      <c r="J74" s="42" t="n">
        <v>0</v>
      </c>
      <c r="K74" s="42" t="n">
        <v>0</v>
      </c>
      <c r="L74" s="42" t="n">
        <v>0</v>
      </c>
      <c r="M74" s="42" t="n">
        <v>0</v>
      </c>
      <c r="N74" s="43">
        <f>SUM(B74:M74)</f>
        <v/>
      </c>
      <c r="O74" s="43">
        <f>N74</f>
        <v/>
      </c>
      <c r="P74" s="43">
        <f>O74</f>
        <v/>
      </c>
    </row>
    <row r="75">
      <c r="A75" s="44" t="inlineStr">
        <is>
          <t xml:space="preserve">　接待交際費</t>
        </is>
      </c>
      <c r="B75" s="45">
        <f>SUM(B76:B77)</f>
        <v/>
      </c>
      <c r="C75" s="45">
        <f>SUM(C76:C77)</f>
        <v/>
      </c>
      <c r="D75" s="45">
        <f>SUM(D76:D77)</f>
        <v/>
      </c>
      <c r="E75" s="45">
        <f>SUM(E76:E77)</f>
        <v/>
      </c>
      <c r="F75" s="45">
        <f>SUM(F76:F77)</f>
        <v/>
      </c>
      <c r="G75" s="45">
        <f>SUM(G76:G77)</f>
        <v/>
      </c>
      <c r="H75" s="45">
        <f>SUM(H76:H77)</f>
        <v/>
      </c>
      <c r="I75" s="45">
        <f>SUM(I76:I77)</f>
        <v/>
      </c>
      <c r="J75" s="45">
        <f>SUM(J76:J77)</f>
        <v/>
      </c>
      <c r="K75" s="45">
        <f>SUM(K76:K77)</f>
        <v/>
      </c>
      <c r="L75" s="45">
        <f>SUM(L76:L77)</f>
        <v/>
      </c>
      <c r="M75" s="45">
        <f>SUM(M76:M77)</f>
        <v/>
      </c>
      <c r="N75" s="45">
        <f>SUM(B75:M75)</f>
        <v/>
      </c>
      <c r="O75" s="45">
        <f>N75</f>
        <v/>
      </c>
      <c r="P75" s="45">
        <f>O75</f>
        <v/>
      </c>
    </row>
    <row r="76">
      <c r="A76" s="41" t="inlineStr">
        <is>
          <t xml:space="preserve">　　・接待飲食（1人1万円超等）</t>
        </is>
      </c>
      <c r="B76" s="42" t="n">
        <v>0</v>
      </c>
      <c r="C76" s="42" t="n">
        <v>0</v>
      </c>
      <c r="D76" s="42" t="n">
        <v>0</v>
      </c>
      <c r="E76" s="42" t="n">
        <v>0</v>
      </c>
      <c r="F76" s="42" t="n">
        <v>0</v>
      </c>
      <c r="G76" s="42" t="n">
        <v>0</v>
      </c>
      <c r="H76" s="42" t="n">
        <v>0</v>
      </c>
      <c r="I76" s="42" t="n">
        <v>0</v>
      </c>
      <c r="J76" s="42" t="n">
        <v>0</v>
      </c>
      <c r="K76" s="42" t="n">
        <v>0</v>
      </c>
      <c r="L76" s="42" t="n">
        <v>0</v>
      </c>
      <c r="M76" s="42" t="n">
        <v>0</v>
      </c>
      <c r="N76" s="43">
        <f>SUM(B76:M76)</f>
        <v/>
      </c>
      <c r="O76" s="43">
        <f>N76</f>
        <v/>
      </c>
      <c r="P76" s="43">
        <f>O76</f>
        <v/>
      </c>
    </row>
    <row r="77">
      <c r="A77" s="41" t="inlineStr">
        <is>
          <t xml:space="preserve">　　・贈答・慶弔</t>
        </is>
      </c>
      <c r="B77" s="42" t="n">
        <v>0</v>
      </c>
      <c r="C77" s="42" t="n">
        <v>0</v>
      </c>
      <c r="D77" s="42" t="n">
        <v>0</v>
      </c>
      <c r="E77" s="42" t="n">
        <v>0</v>
      </c>
      <c r="F77" s="42" t="n">
        <v>0</v>
      </c>
      <c r="G77" s="42" t="n">
        <v>0</v>
      </c>
      <c r="H77" s="42" t="n">
        <v>0</v>
      </c>
      <c r="I77" s="42" t="n">
        <v>0</v>
      </c>
      <c r="J77" s="42" t="n">
        <v>0</v>
      </c>
      <c r="K77" s="42" t="n">
        <v>0</v>
      </c>
      <c r="L77" s="42" t="n">
        <v>0</v>
      </c>
      <c r="M77" s="42" t="n">
        <v>0</v>
      </c>
      <c r="N77" s="43">
        <f>SUM(B77:M77)</f>
        <v/>
      </c>
      <c r="O77" s="43">
        <f>N77</f>
        <v/>
      </c>
      <c r="P77" s="43">
        <f>O77</f>
        <v/>
      </c>
    </row>
    <row r="78">
      <c r="A78" s="44" t="inlineStr">
        <is>
          <t xml:space="preserve">　支払手数料</t>
        </is>
      </c>
      <c r="B78" s="45">
        <f>SUM(B79:B80)</f>
        <v/>
      </c>
      <c r="C78" s="45">
        <f>SUM(C79:C80)</f>
        <v/>
      </c>
      <c r="D78" s="45">
        <f>SUM(D79:D80)</f>
        <v/>
      </c>
      <c r="E78" s="45">
        <f>SUM(E79:E80)</f>
        <v/>
      </c>
      <c r="F78" s="45">
        <f>SUM(F79:F80)</f>
        <v/>
      </c>
      <c r="G78" s="45">
        <f>SUM(G79:G80)</f>
        <v/>
      </c>
      <c r="H78" s="45">
        <f>SUM(H79:H80)</f>
        <v/>
      </c>
      <c r="I78" s="45">
        <f>SUM(I79:I80)</f>
        <v/>
      </c>
      <c r="J78" s="45">
        <f>SUM(J79:J80)</f>
        <v/>
      </c>
      <c r="K78" s="45">
        <f>SUM(K79:K80)</f>
        <v/>
      </c>
      <c r="L78" s="45">
        <f>SUM(L79:L80)</f>
        <v/>
      </c>
      <c r="M78" s="45">
        <f>SUM(M79:M80)</f>
        <v/>
      </c>
      <c r="N78" s="45">
        <f>SUM(B78:M78)</f>
        <v/>
      </c>
      <c r="O78" s="45">
        <f>N78</f>
        <v/>
      </c>
      <c r="P78" s="45">
        <f>O78</f>
        <v/>
      </c>
    </row>
    <row r="79">
      <c r="A79" s="41" t="inlineStr">
        <is>
          <t xml:space="preserve">　　・振込手数料</t>
        </is>
      </c>
      <c r="B79" s="42" t="n">
        <v>0</v>
      </c>
      <c r="C79" s="42" t="n">
        <v>0</v>
      </c>
      <c r="D79" s="42" t="n">
        <v>0</v>
      </c>
      <c r="E79" s="42" t="n">
        <v>0</v>
      </c>
      <c r="F79" s="42" t="n">
        <v>0</v>
      </c>
      <c r="G79" s="42" t="n">
        <v>0</v>
      </c>
      <c r="H79" s="42" t="n">
        <v>0</v>
      </c>
      <c r="I79" s="42" t="n">
        <v>0</v>
      </c>
      <c r="J79" s="42" t="n">
        <v>0</v>
      </c>
      <c r="K79" s="42" t="n">
        <v>0</v>
      </c>
      <c r="L79" s="42" t="n">
        <v>0</v>
      </c>
      <c r="M79" s="42" t="n">
        <v>0</v>
      </c>
      <c r="N79" s="43">
        <f>SUM(B79:M79)</f>
        <v/>
      </c>
      <c r="O79" s="43">
        <f>N79</f>
        <v/>
      </c>
      <c r="P79" s="43">
        <f>O79</f>
        <v/>
      </c>
    </row>
    <row r="80">
      <c r="A80" s="41" t="inlineStr">
        <is>
          <t xml:space="preserve">　　・決済・プラットフォーム手数料（Stripe等）</t>
        </is>
      </c>
      <c r="B80" s="42" t="n">
        <v>0</v>
      </c>
      <c r="C80" s="42" t="n">
        <v>0</v>
      </c>
      <c r="D80" s="42" t="n">
        <v>0</v>
      </c>
      <c r="E80" s="42" t="n">
        <v>0</v>
      </c>
      <c r="F80" s="42" t="n">
        <v>0</v>
      </c>
      <c r="G80" s="42" t="n">
        <v>0</v>
      </c>
      <c r="H80" s="42" t="n">
        <v>0</v>
      </c>
      <c r="I80" s="42" t="n">
        <v>0</v>
      </c>
      <c r="J80" s="42" t="n">
        <v>0</v>
      </c>
      <c r="K80" s="42" t="n">
        <v>0</v>
      </c>
      <c r="L80" s="42" t="n">
        <v>0</v>
      </c>
      <c r="M80" s="42" t="n">
        <v>0</v>
      </c>
      <c r="N80" s="43">
        <f>SUM(B80:M80)</f>
        <v/>
      </c>
      <c r="O80" s="43">
        <f>N80</f>
        <v/>
      </c>
      <c r="P80" s="43">
        <f>O80</f>
        <v/>
      </c>
    </row>
    <row r="81">
      <c r="A81" s="44" t="inlineStr">
        <is>
          <t xml:space="preserve">　販売費 小計</t>
        </is>
      </c>
      <c r="B81" s="45">
        <f>B65+B66+B72+B75+B78</f>
        <v/>
      </c>
      <c r="C81" s="45">
        <f>C65+C66+C72+C75+C78</f>
        <v/>
      </c>
      <c r="D81" s="45">
        <f>D65+D66+D72+D75+D78</f>
        <v/>
      </c>
      <c r="E81" s="45">
        <f>E65+E66+E72+E75+E78</f>
        <v/>
      </c>
      <c r="F81" s="45">
        <f>F65+F66+F72+F75+F78</f>
        <v/>
      </c>
      <c r="G81" s="45">
        <f>G65+G66+G72+G75+G78</f>
        <v/>
      </c>
      <c r="H81" s="45">
        <f>H65+H66+H72+H75+H78</f>
        <v/>
      </c>
      <c r="I81" s="45">
        <f>I65+I66+I72+I75+I78</f>
        <v/>
      </c>
      <c r="J81" s="45">
        <f>J65+J66+J72+J75+J78</f>
        <v/>
      </c>
      <c r="K81" s="45">
        <f>K65+K66+K72+K75+K78</f>
        <v/>
      </c>
      <c r="L81" s="45">
        <f>L65+L66+L72+L75+L78</f>
        <v/>
      </c>
      <c r="M81" s="45">
        <f>M65+M66+M72+M75+M78</f>
        <v/>
      </c>
      <c r="N81" s="45">
        <f>N65+N66+N72+N75+N78</f>
        <v/>
      </c>
      <c r="O81" s="45">
        <f>O65+O66+O72+O75+O78</f>
        <v/>
      </c>
      <c r="P81" s="45">
        <f>P65+P66+P72+P75+P78</f>
        <v/>
      </c>
    </row>
    <row r="82">
      <c r="A82" s="44" t="inlineStr">
        <is>
          <t>販管費 合計（販売費＋一般管理費／支払利息を除く）</t>
        </is>
      </c>
      <c r="B82" s="45">
        <f>B63+B81</f>
        <v/>
      </c>
      <c r="C82" s="45">
        <f>C63+C81</f>
        <v/>
      </c>
      <c r="D82" s="45">
        <f>D63+D81</f>
        <v/>
      </c>
      <c r="E82" s="45">
        <f>E63+E81</f>
        <v/>
      </c>
      <c r="F82" s="45">
        <f>F63+F81</f>
        <v/>
      </c>
      <c r="G82" s="45">
        <f>G63+G81</f>
        <v/>
      </c>
      <c r="H82" s="45">
        <f>H63+H81</f>
        <v/>
      </c>
      <c r="I82" s="45">
        <f>I63+I81</f>
        <v/>
      </c>
      <c r="J82" s="45">
        <f>J63+J81</f>
        <v/>
      </c>
      <c r="K82" s="45">
        <f>K63+K81</f>
        <v/>
      </c>
      <c r="L82" s="45">
        <f>L63+L81</f>
        <v/>
      </c>
      <c r="M82" s="45">
        <f>M63+M81</f>
        <v/>
      </c>
      <c r="N82" s="45">
        <f>N63+N81</f>
        <v/>
      </c>
      <c r="O82" s="45">
        <f>O63+O81</f>
        <v/>
      </c>
      <c r="P82" s="45">
        <f>P63+P81</f>
        <v/>
      </c>
    </row>
    <row r="83">
      <c r="A83" s="46" t="inlineStr">
        <is>
          <t>営業利益</t>
        </is>
      </c>
      <c r="B83" s="47">
        <f>B22-B82</f>
        <v/>
      </c>
      <c r="C83" s="47">
        <f>C22-C82</f>
        <v/>
      </c>
      <c r="D83" s="47">
        <f>D22-D82</f>
        <v/>
      </c>
      <c r="E83" s="47">
        <f>E22-E82</f>
        <v/>
      </c>
      <c r="F83" s="47">
        <f>F22-F82</f>
        <v/>
      </c>
      <c r="G83" s="47">
        <f>G22-G82</f>
        <v/>
      </c>
      <c r="H83" s="47">
        <f>H22-H82</f>
        <v/>
      </c>
      <c r="I83" s="47">
        <f>I22-I82</f>
        <v/>
      </c>
      <c r="J83" s="47">
        <f>J22-J82</f>
        <v/>
      </c>
      <c r="K83" s="47">
        <f>K22-K82</f>
        <v/>
      </c>
      <c r="L83" s="47">
        <f>L22-L82</f>
        <v/>
      </c>
      <c r="M83" s="47">
        <f>M22-M82</f>
        <v/>
      </c>
      <c r="N83" s="47">
        <f>N22-N82</f>
        <v/>
      </c>
      <c r="O83" s="47">
        <f>O22-O82</f>
        <v/>
      </c>
      <c r="P83" s="47">
        <f>P22-P82</f>
        <v/>
      </c>
    </row>
    <row r="84">
      <c r="A84" s="41" t="inlineStr">
        <is>
          <t xml:space="preserve">　支払利息（営業外費用・公庫融資後に計上・要確認）</t>
        </is>
      </c>
      <c r="B84" s="42" t="n">
        <v>0</v>
      </c>
      <c r="C84" s="42" t="n">
        <v>0</v>
      </c>
      <c r="D84" s="42" t="n">
        <v>0</v>
      </c>
      <c r="E84" s="42" t="n">
        <v>0</v>
      </c>
      <c r="F84" s="42" t="n">
        <v>0</v>
      </c>
      <c r="G84" s="42" t="n">
        <v>0</v>
      </c>
      <c r="H84" s="42" t="n">
        <v>0</v>
      </c>
      <c r="I84" s="42" t="n">
        <v>0</v>
      </c>
      <c r="J84" s="42" t="n">
        <v>0</v>
      </c>
      <c r="K84" s="42" t="n">
        <v>0</v>
      </c>
      <c r="L84" s="42" t="n">
        <v>0</v>
      </c>
      <c r="M84" s="42" t="n">
        <v>0</v>
      </c>
      <c r="N84" s="43">
        <f>SUM(B84:M84)</f>
        <v/>
      </c>
      <c r="O84" s="43">
        <f>N84</f>
        <v/>
      </c>
      <c r="P84" s="43">
        <f>O84</f>
        <v/>
      </c>
    </row>
    <row r="85">
      <c r="A85" s="46" t="inlineStr">
        <is>
          <t>経常利益</t>
        </is>
      </c>
      <c r="B85" s="47">
        <f>B83-B84</f>
        <v/>
      </c>
      <c r="C85" s="47">
        <f>C83-C84</f>
        <v/>
      </c>
      <c r="D85" s="47">
        <f>D83-D84</f>
        <v/>
      </c>
      <c r="E85" s="47">
        <f>E83-E84</f>
        <v/>
      </c>
      <c r="F85" s="47">
        <f>F83-F84</f>
        <v/>
      </c>
      <c r="G85" s="47">
        <f>G83-G84</f>
        <v/>
      </c>
      <c r="H85" s="47">
        <f>H83-H84</f>
        <v/>
      </c>
      <c r="I85" s="47">
        <f>I83-I84</f>
        <v/>
      </c>
      <c r="J85" s="47">
        <f>J83-J84</f>
        <v/>
      </c>
      <c r="K85" s="47">
        <f>K83-K84</f>
        <v/>
      </c>
      <c r="L85" s="47">
        <f>L83-L84</f>
        <v/>
      </c>
      <c r="M85" s="47">
        <f>M83-M84</f>
        <v/>
      </c>
      <c r="N85" s="47">
        <f>N83-N84</f>
        <v/>
      </c>
      <c r="O85" s="47">
        <f>O83-O84</f>
        <v/>
      </c>
      <c r="P85" s="47">
        <f>P83-P84</f>
        <v/>
      </c>
    </row>
    <row r="87">
      <c r="A87" s="35" t="inlineStr">
        <is>
          <t>＜参考：テンプレート標準外（融資審査用に当事業の実態を補足）＞</t>
        </is>
      </c>
    </row>
    <row r="88">
      <c r="A88" s="41" t="inlineStr">
        <is>
          <t>消費税（簡易課税・第5種50%）</t>
        </is>
      </c>
      <c r="N88" s="43">
        <f>ROUND(N20*0.1*(1-0.5),0)</f>
        <v/>
      </c>
      <c r="O88" s="43">
        <f>ROUND(O20*0.1*(1-0.5),0)</f>
        <v/>
      </c>
      <c r="P88" s="43">
        <f>ROUND(P20*0.1*(1-0.5),0)</f>
        <v/>
      </c>
    </row>
    <row r="89">
      <c r="A89" s="41" t="inlineStr">
        <is>
          <t>法人税等（経常利益×実効25%＋均等割7万）</t>
        </is>
      </c>
      <c r="N89" s="43">
        <f>MAX(ROUND(N85*0.25,0),0)+70000</f>
        <v/>
      </c>
      <c r="O89" s="43">
        <f>MAX(ROUND(O85*0.25,0),0)+70000</f>
        <v/>
      </c>
      <c r="P89" s="43">
        <f>MAX(ROUND(P85*0.25,0),0)+70000</f>
        <v/>
      </c>
    </row>
    <row r="90">
      <c r="A90" s="39" t="inlineStr">
        <is>
          <t>税引後利益（参考）</t>
        </is>
      </c>
      <c r="N90" s="48">
        <f>N85-N89</f>
        <v/>
      </c>
      <c r="O90" s="48">
        <f>O85-O89</f>
        <v/>
      </c>
      <c r="P90" s="48">
        <f>P85-P89</f>
        <v/>
      </c>
    </row>
    <row r="92">
      <c r="A92" s="35" t="inlineStr">
        <is>
          <t>【実額入力（2026-06-22・緑セル）】法定福利費=社会保険料22,133／通信費=携帯①3,720＋②5,000＋光回線4,500（＋サーバー10,000はたたき台）／ソフトウェア利用料=Google Workspace3,520＋Claude18,309＋YouTube Premium1,280／支払報酬料=税理士16,500／地代家賃=役員社宅179,550／水道光熱費=15,000。</t>
        </is>
      </c>
    </row>
    <row r="93">
      <c r="A93" s="35" t="inlineStr">
        <is>
          <t>★要確認：①社会保険料22,133は役員報酬7万の最低等級概算(約11,000)より大きい→役員報酬額または社保等級の整合を確認。②役員社宅179,550は純額か総額か・本人負担(賃貸料相当額)の有無を確認（総額なら本人負担分を受取家賃で相殺）。③水道光熱15,000は電気・水道・ガスの合算で1行に計上（内訳は後日）。④通信費のサーバー・ドメインは未入力のたたき台10,000。</t>
        </is>
      </c>
    </row>
    <row r="94">
      <c r="A94" s="35" t="inlineStr">
        <is>
          <t>【販管費の構成】「販売費」と「一般管理費」に分割し、各勘定科目に子階層（補助科目の内訳）。親科目＝子の自動合計。緑＝実額入力済／黄＝たたき台。子階層はITERRA勘定科目定義表の補助科目に準拠。</t>
        </is>
      </c>
    </row>
    <row r="95">
      <c r="A95" s="35" t="inlineStr">
        <is>
          <t>・YouTube Premiumはソフトウェア利用料に計上（私的性が強いと判断する場合は役員貸付金/対象外へ・定義表03参照）。</t>
        </is>
      </c>
    </row>
    <row r="96">
      <c r="A96" s="35" t="inlineStr">
        <is>
          <t>【経理前提】税込経理。本表金額は税抜混在のたたき台。確定時に税込へ統一する要あり。課税方式は要確認（簡易課税前提で消費税参考値を算定）。</t>
        </is>
      </c>
    </row>
    <row r="97">
      <c r="A97" s="35" t="inlineStr">
        <is>
          <t>【サービス／プラン】売上は「①診断→②伴走（松竹梅＋逓減）→③ライト→④既存受託」。松は本人1名のため数量0。単価（松110/梅40/逓減35万）は仮置き。</t>
        </is>
      </c>
    </row>
    <row r="98">
      <c r="A98" s="35" t="inlineStr">
        <is>
          <t>【期・タイミング】1期=2023/6〜12、以後1〜12月。本表は当期4期(2026)〜翌々期6期(2028)。新規受注は2026年8月以降。</t>
        </is>
      </c>
    </row>
    <row r="99">
      <c r="A99" s="35" t="inlineStr">
        <is>
          <t>【注意】3期とも役員報酬7万据置のため営業利益・法人税が過大。翌期(2027)以降は報酬最適化が別タスク。未入力科目はたたき台＝黄色セルを上書き。</t>
        </is>
      </c>
    </row>
    <row r="100">
      <c r="A100" s="35" t="inlineStr">
        <is>
          <t>※出所：ITERRA_勘定科目定義表.xlsx ／ deliverables/keiei_model.xlsx。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2026-06-22T02:36:35Z</dcterms:created>
  <dcterms:modified xmlns:dcterms="http://purl.org/dc/terms/" xmlns:xsi="http://www.w3.org/2001/XMLSchema-instance" xsi:type="dcterms:W3CDTF">2026-06-22T04:05:27Z</dcterms:modified>
  <cp:lastModifiedBy>Yuki Ishida</cp:lastModifiedBy>
</cp:coreProperties>
</file>