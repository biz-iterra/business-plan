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olor theme="1"/>
      <sz val="10"/>
    </font>
    <font>
      <name val="Arial"/>
      <color theme="1"/>
      <sz val="18"/>
    </font>
    <font>
      <name val="Arial"/>
      <charset val="128"/>
      <family val="3"/>
      <sz val="6"/>
      <scheme val="minor"/>
    </font>
    <font>
      <b val="1"/>
      <sz val="14"/>
    </font>
    <font>
      <sz val="10"/>
    </font>
    <font>
      <i val="1"/>
      <color rgb="00555555"/>
      <sz val="9"/>
    </font>
    <font>
      <b val="1"/>
      <sz val="11"/>
    </font>
    <font>
      <b val="1"/>
    </font>
  </fonts>
  <fills count="7">
    <fill>
      <patternFill/>
    </fill>
    <fill>
      <patternFill patternType="gray125"/>
    </fill>
    <fill>
      <patternFill patternType="solid">
        <fgColor rgb="FFCFE2F3"/>
        <bgColor rgb="FFCFE2F3"/>
      </patternFill>
    </fill>
    <fill>
      <patternFill patternType="solid">
        <fgColor rgb="00D9E1F2"/>
      </patternFill>
    </fill>
    <fill>
      <patternFill patternType="solid">
        <fgColor rgb="00FFF2CC"/>
      </patternFill>
    </fill>
    <fill>
      <patternFill patternType="solid">
        <fgColor rgb="00EAF0FB"/>
      </patternFill>
    </fill>
    <fill>
      <patternFill patternType="solid">
        <fgColor rgb="00FCE4D6"/>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9">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3" fontId="8" fillId="0" borderId="0" applyAlignment="1" pivotButton="0" quotePrefix="0" xfId="0">
      <alignment horizontal="left"/>
    </xf>
    <xf numFmtId="3" fontId="8" fillId="0" borderId="0" applyAlignment="1" pivotButton="0" quotePrefix="0" xfId="0">
      <alignment horizontal="center"/>
    </xf>
    <xf numFmtId="3" fontId="9" fillId="0" borderId="0" applyAlignment="1" pivotButton="0" quotePrefix="0" xfId="0">
      <alignment horizontal="center"/>
    </xf>
    <xf numFmtId="3" fontId="8" fillId="0" borderId="7" applyAlignment="1" pivotButton="0" quotePrefix="0" xfId="0">
      <alignment horizontal="center"/>
    </xf>
    <xf numFmtId="3" fontId="8" fillId="0" borderId="8" applyAlignment="1" pivotButton="0" quotePrefix="0" xfId="0">
      <alignment horizontal="center"/>
    </xf>
    <xf numFmtId="3" fontId="8" fillId="0" borderId="2" applyAlignment="1" pivotButton="0" quotePrefix="0" xfId="0">
      <alignment horizontal="center"/>
    </xf>
    <xf numFmtId="3" fontId="8" fillId="0" borderId="1" applyAlignment="1" pivotButton="0" quotePrefix="0" xfId="0">
      <alignment horizontal="center"/>
    </xf>
    <xf numFmtId="3" fontId="8" fillId="0" borderId="9" pivotButton="0" quotePrefix="0" xfId="0"/>
    <xf numFmtId="3" fontId="8" fillId="0" borderId="0" pivotButton="0" quotePrefix="0" xfId="0"/>
    <xf numFmtId="3" fontId="8" fillId="0" borderId="3" pivotButton="0" quotePrefix="0" xfId="0"/>
    <xf numFmtId="3" fontId="8" fillId="2" borderId="7" pivotButton="0" quotePrefix="0" xfId="0"/>
    <xf numFmtId="3" fontId="8" fillId="2" borderId="8" pivotButton="0" quotePrefix="0" xfId="0"/>
    <xf numFmtId="3" fontId="8" fillId="2" borderId="1" pivotButton="0" quotePrefix="0" xfId="0"/>
    <xf numFmtId="3" fontId="8" fillId="0" borderId="7" pivotButton="0" quotePrefix="0" xfId="0"/>
    <xf numFmtId="3" fontId="8" fillId="0" borderId="8" pivotButton="0" quotePrefix="0" xfId="0"/>
    <xf numFmtId="3" fontId="8" fillId="0" borderId="1" pivotButton="0" quotePrefix="0" xfId="0"/>
    <xf numFmtId="3" fontId="8" fillId="2" borderId="10" pivotButton="0" quotePrefix="0" xfId="0"/>
    <xf numFmtId="3" fontId="8" fillId="2" borderId="11" pivotButton="0" quotePrefix="0" xfId="0"/>
    <xf numFmtId="3" fontId="8" fillId="2" borderId="5" pivotButton="0" quotePrefix="0" xfId="0"/>
    <xf numFmtId="3" fontId="9" fillId="0" borderId="0" applyAlignment="1" pivotButton="0" quotePrefix="0" xfId="0">
      <alignment horizontal="center"/>
    </xf>
    <xf numFmtId="0" fontId="0" fillId="0" borderId="0" pivotButton="0" quotePrefix="0" xfId="0"/>
    <xf numFmtId="0" fontId="1" fillId="0" borderId="0" applyAlignment="1" pivotButton="0" quotePrefix="0" xfId="0">
      <alignment vertical="center"/>
    </xf>
    <xf numFmtId="0" fontId="11" fillId="0" borderId="0" pivotButton="0" quotePrefix="0" xfId="0"/>
    <xf numFmtId="0" fontId="12" fillId="0" borderId="0" pivotButton="0" quotePrefix="0" xfId="0"/>
    <xf numFmtId="0" fontId="13" fillId="0" borderId="0" pivotButton="0" quotePrefix="0" xfId="0"/>
    <xf numFmtId="0" fontId="14" fillId="3" borderId="12" pivotButton="0" quotePrefix="0" xfId="0"/>
    <xf numFmtId="0" fontId="14" fillId="3" borderId="12" applyAlignment="1" pivotButton="0" quotePrefix="0" xfId="0">
      <alignment horizontal="center"/>
    </xf>
    <xf numFmtId="0" fontId="0" fillId="3" borderId="12" pivotButton="0" quotePrefix="0" xfId="0"/>
    <xf numFmtId="0" fontId="15" fillId="0" borderId="12" pivotButton="0" quotePrefix="0" xfId="0"/>
    <xf numFmtId="0" fontId="0" fillId="0" borderId="12" pivotButton="0" quotePrefix="0" xfId="0"/>
    <xf numFmtId="0" fontId="12" fillId="0" borderId="12" pivotButton="0" quotePrefix="0" xfId="0"/>
    <xf numFmtId="3" fontId="0" fillId="4" borderId="12" pivotButton="0" quotePrefix="0" xfId="0"/>
    <xf numFmtId="3" fontId="0" fillId="0" borderId="12" pivotButton="0" quotePrefix="0" xfId="0"/>
    <xf numFmtId="0" fontId="15" fillId="5" borderId="12" pivotButton="0" quotePrefix="0" xfId="0"/>
    <xf numFmtId="3" fontId="15" fillId="5" borderId="12" pivotButton="0" quotePrefix="0" xfId="0"/>
    <xf numFmtId="0" fontId="15" fillId="6" borderId="12" pivotButton="0" quotePrefix="0" xfId="0"/>
    <xf numFmtId="3" fontId="15" fillId="6" borderId="12" pivotButton="0" quotePrefix="0" xfId="0"/>
    <xf numFmtId="3" fontId="15" fillId="0" borderId="12"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31" min="1" max="1"/>
    <col width="70.6328125" customWidth="1" style="31" min="2" max="2"/>
    <col width="12.6328125" customWidth="1" style="31" min="3" max="6"/>
  </cols>
  <sheetData>
    <row r="1" ht="27.75" customHeight="1" s="31">
      <c r="A1" s="32"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31">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31">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31">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31">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31">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31">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3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3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3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3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3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3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3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3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3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cols>
    <col width="34" customWidth="1" style="31" min="1" max="1"/>
    <col width="10" customWidth="1" style="31" min="2" max="2"/>
    <col width="10" customWidth="1" style="31" min="3" max="3"/>
    <col width="10" customWidth="1" style="31" min="4" max="4"/>
    <col width="10" customWidth="1" style="31" min="5" max="5"/>
    <col width="10" customWidth="1" style="31" min="6" max="6"/>
    <col width="10" customWidth="1" style="31" min="7" max="7"/>
    <col width="10" customWidth="1" style="31" min="8" max="8"/>
    <col width="10" customWidth="1" style="31" min="9" max="9"/>
    <col width="10" customWidth="1" style="31" min="10" max="10"/>
    <col width="10" customWidth="1" style="31" min="11" max="11"/>
    <col width="10" customWidth="1" style="31" min="12" max="12"/>
    <col width="10" customWidth="1" style="31" min="13" max="13"/>
    <col width="14" customWidth="1" style="31" min="14" max="14"/>
    <col width="14" customWidth="1" style="31" min="15" max="15"/>
    <col width="14" customWidth="1" style="31" min="16" max="16"/>
  </cols>
  <sheetData>
    <row r="1">
      <c r="A1" s="33" t="inlineStr">
        <is>
          <t>事業主名：（屋号・法人名は確定後に記入）／資本金50万円</t>
        </is>
      </c>
      <c r="F1" s="33" t="inlineStr">
        <is>
          <t>事業計画書</t>
        </is>
      </c>
    </row>
    <row r="2">
      <c r="A2" s="34" t="inlineStr">
        <is>
          <t>業種：IT伴走支援（介護業界向け・経営/業務/システムの構造設計と並走）</t>
        </is>
      </c>
    </row>
    <row r="3">
      <c r="A3" s="35" t="inlineStr">
        <is>
          <t>期：1期=2023/6〜12、以後1〜12月サイクル。本表＝当期4期(2026)/翌期5期(2027)/翌々期6期(2028)。新規受注は2026年8月以降。</t>
        </is>
      </c>
    </row>
    <row r="4">
      <c r="A4" s="36" t="inlineStr">
        <is>
          <t>月</t>
        </is>
      </c>
      <c r="B4" s="37" t="n">
        <v>1</v>
      </c>
      <c r="C4" s="37" t="n">
        <v>2</v>
      </c>
      <c r="D4" s="37" t="n">
        <v>3</v>
      </c>
      <c r="E4" s="37" t="n">
        <v>4</v>
      </c>
      <c r="F4" s="37" t="n">
        <v>5</v>
      </c>
      <c r="G4" s="37" t="n">
        <v>6</v>
      </c>
      <c r="H4" s="37" t="n">
        <v>7</v>
      </c>
      <c r="I4" s="37" t="n">
        <v>8</v>
      </c>
      <c r="J4" s="37" t="n">
        <v>9</v>
      </c>
      <c r="K4" s="37" t="n">
        <v>10</v>
      </c>
      <c r="L4" s="37" t="n">
        <v>11</v>
      </c>
      <c r="M4" s="37" t="n">
        <v>12</v>
      </c>
      <c r="N4" s="37" t="inlineStr">
        <is>
          <t>当期 4期(2026)</t>
        </is>
      </c>
      <c r="O4" s="37" t="inlineStr">
        <is>
          <t>翌期 5期(2027)</t>
        </is>
      </c>
      <c r="P4" s="37" t="inlineStr">
        <is>
          <t>翌々期 6期(2028)</t>
        </is>
      </c>
    </row>
    <row r="5">
      <c r="A5" s="36" t="inlineStr">
        <is>
          <t>【売上の部】</t>
        </is>
      </c>
      <c r="B5" s="38" t="n"/>
      <c r="C5" s="38" t="n"/>
      <c r="D5" s="38" t="n"/>
      <c r="E5" s="38" t="n"/>
      <c r="F5" s="38" t="n"/>
      <c r="G5" s="38" t="n"/>
      <c r="H5" s="38" t="n"/>
      <c r="I5" s="38" t="n"/>
      <c r="J5" s="38" t="n"/>
      <c r="K5" s="38" t="n"/>
      <c r="L5" s="38" t="n"/>
      <c r="M5" s="38" t="n"/>
      <c r="N5" s="38" t="n"/>
      <c r="O5" s="38" t="n"/>
      <c r="P5" s="38" t="n"/>
    </row>
    <row r="6">
      <c r="A6" s="39" t="inlineStr">
        <is>
          <t>① 診断サービス（スポット）</t>
        </is>
      </c>
      <c r="B6" s="40" t="n"/>
      <c r="C6" s="40" t="n"/>
      <c r="D6" s="40" t="n"/>
      <c r="E6" s="40" t="n"/>
      <c r="F6" s="40" t="n"/>
      <c r="G6" s="40" t="n"/>
      <c r="H6" s="40" t="n"/>
      <c r="I6" s="40" t="n"/>
      <c r="J6" s="40" t="n"/>
      <c r="K6" s="40" t="n"/>
      <c r="L6" s="40" t="n"/>
      <c r="M6" s="40" t="n"/>
      <c r="N6" s="40" t="n"/>
      <c r="O6" s="40" t="n"/>
      <c r="P6" s="40" t="n"/>
    </row>
    <row r="7">
      <c r="A7" s="41" t="inlineStr">
        <is>
          <t xml:space="preserve">　立ち上げ（@10万・先着5社）</t>
        </is>
      </c>
      <c r="B7" s="42" t="n">
        <v>0</v>
      </c>
      <c r="C7" s="42" t="n">
        <v>0</v>
      </c>
      <c r="D7" s="42" t="n">
        <v>0</v>
      </c>
      <c r="E7" s="42" t="n">
        <v>0</v>
      </c>
      <c r="F7" s="42" t="n">
        <v>0</v>
      </c>
      <c r="G7" s="42" t="n">
        <v>0</v>
      </c>
      <c r="H7" s="42" t="n">
        <v>0</v>
      </c>
      <c r="I7" s="42" t="n">
        <v>100000</v>
      </c>
      <c r="J7" s="42" t="n">
        <v>100000</v>
      </c>
      <c r="K7" s="42" t="n">
        <v>100000</v>
      </c>
      <c r="L7" s="42" t="n">
        <v>100000</v>
      </c>
      <c r="M7" s="42" t="n">
        <v>0</v>
      </c>
      <c r="N7" s="43">
        <f>SUM(B7:M7)</f>
        <v/>
      </c>
      <c r="O7" s="42" t="n">
        <v>100000</v>
      </c>
      <c r="P7" s="42" t="n">
        <v>0</v>
      </c>
    </row>
    <row r="8">
      <c r="A8" s="41" t="inlineStr">
        <is>
          <t xml:space="preserve">　竹／標準（@30万）</t>
        </is>
      </c>
      <c r="B8" s="42" t="n">
        <v>0</v>
      </c>
      <c r="C8" s="42" t="n">
        <v>0</v>
      </c>
      <c r="D8" s="42" t="n">
        <v>0</v>
      </c>
      <c r="E8" s="42" t="n">
        <v>0</v>
      </c>
      <c r="F8" s="42" t="n">
        <v>0</v>
      </c>
      <c r="G8" s="42" t="n">
        <v>0</v>
      </c>
      <c r="H8" s="42" t="n">
        <v>0</v>
      </c>
      <c r="I8" s="42" t="n">
        <v>0</v>
      </c>
      <c r="J8" s="42" t="n">
        <v>0</v>
      </c>
      <c r="K8" s="42" t="n">
        <v>0</v>
      </c>
      <c r="L8" s="42" t="n">
        <v>0</v>
      </c>
      <c r="M8" s="42" t="n">
        <v>0</v>
      </c>
      <c r="N8" s="43">
        <f>SUM(B8:M8)</f>
        <v/>
      </c>
      <c r="O8" s="42" t="n">
        <v>1800000</v>
      </c>
      <c r="P8" s="42" t="n">
        <v>1200000</v>
      </c>
    </row>
    <row r="9">
      <c r="A9" s="44" t="inlineStr">
        <is>
          <t xml:space="preserve">　診断サービス 小計</t>
        </is>
      </c>
      <c r="B9" s="45">
        <f>B7+B8</f>
        <v/>
      </c>
      <c r="C9" s="45">
        <f>C7+C8</f>
        <v/>
      </c>
      <c r="D9" s="45">
        <f>D7+D8</f>
        <v/>
      </c>
      <c r="E9" s="45">
        <f>E7+E8</f>
        <v/>
      </c>
      <c r="F9" s="45">
        <f>F7+F8</f>
        <v/>
      </c>
      <c r="G9" s="45">
        <f>G7+G8</f>
        <v/>
      </c>
      <c r="H9" s="45">
        <f>H7+H8</f>
        <v/>
      </c>
      <c r="I9" s="45">
        <f>I7+I8</f>
        <v/>
      </c>
      <c r="J9" s="45">
        <f>J7+J8</f>
        <v/>
      </c>
      <c r="K9" s="45">
        <f>K7+K8</f>
        <v/>
      </c>
      <c r="L9" s="45">
        <f>L7+L8</f>
        <v/>
      </c>
      <c r="M9" s="45">
        <f>M7+M8</f>
        <v/>
      </c>
      <c r="N9" s="45">
        <f>N7+N8</f>
        <v/>
      </c>
      <c r="O9" s="45">
        <f>O7+O8</f>
        <v/>
      </c>
      <c r="P9" s="45">
        <f>P7+P8</f>
        <v/>
      </c>
    </row>
    <row r="10">
      <c r="A10" s="39" t="inlineStr">
        <is>
          <t>② 伴走支援（月額固定・準委任）</t>
        </is>
      </c>
      <c r="B10" s="40" t="n"/>
      <c r="C10" s="40" t="n"/>
      <c r="D10" s="40" t="n"/>
      <c r="E10" s="40" t="n"/>
      <c r="F10" s="40" t="n"/>
      <c r="G10" s="40" t="n"/>
      <c r="H10" s="40" t="n"/>
      <c r="I10" s="40" t="n"/>
      <c r="J10" s="40" t="n"/>
      <c r="K10" s="40" t="n"/>
      <c r="L10" s="40" t="n"/>
      <c r="M10" s="40" t="n"/>
      <c r="N10" s="40" t="n"/>
      <c r="O10" s="40" t="n"/>
      <c r="P10" s="40" t="n"/>
    </row>
    <row r="11">
      <c r="A11" s="41" t="inlineStr">
        <is>
          <t xml:space="preserve">　松（週3日相当 @110万）</t>
        </is>
      </c>
      <c r="B11" s="42" t="n">
        <v>0</v>
      </c>
      <c r="C11" s="42" t="n">
        <v>0</v>
      </c>
      <c r="D11" s="42" t="n">
        <v>0</v>
      </c>
      <c r="E11" s="42" t="n">
        <v>0</v>
      </c>
      <c r="F11" s="42" t="n">
        <v>0</v>
      </c>
      <c r="G11" s="42" t="n">
        <v>0</v>
      </c>
      <c r="H11" s="42" t="n">
        <v>0</v>
      </c>
      <c r="I11" s="42" t="n">
        <v>0</v>
      </c>
      <c r="J11" s="42" t="n">
        <v>0</v>
      </c>
      <c r="K11" s="42" t="n">
        <v>0</v>
      </c>
      <c r="L11" s="42" t="n">
        <v>0</v>
      </c>
      <c r="M11" s="42" t="n">
        <v>0</v>
      </c>
      <c r="N11" s="43">
        <f>SUM(B11:M11)</f>
        <v/>
      </c>
      <c r="O11" s="42" t="n">
        <v>0</v>
      </c>
      <c r="P11" s="42" t="n">
        <v>0</v>
      </c>
    </row>
    <row r="12">
      <c r="A12" s="41" t="inlineStr">
        <is>
          <t xml:space="preserve">　竹（週2日相当 @75万）★現行主力</t>
        </is>
      </c>
      <c r="B12" s="42" t="n">
        <v>0</v>
      </c>
      <c r="C12" s="42" t="n">
        <v>0</v>
      </c>
      <c r="D12" s="42" t="n">
        <v>0</v>
      </c>
      <c r="E12" s="42" t="n">
        <v>0</v>
      </c>
      <c r="F12" s="42" t="n">
        <v>0</v>
      </c>
      <c r="G12" s="42" t="n">
        <v>0</v>
      </c>
      <c r="H12" s="42" t="n">
        <v>0</v>
      </c>
      <c r="I12" s="42" t="n">
        <v>0</v>
      </c>
      <c r="J12" s="42" t="n">
        <v>0</v>
      </c>
      <c r="K12" s="42" t="n">
        <v>750000</v>
      </c>
      <c r="L12" s="42" t="n">
        <v>750000</v>
      </c>
      <c r="M12" s="42" t="n">
        <v>1500000</v>
      </c>
      <c r="N12" s="43">
        <f>SUM(B12:M12)</f>
        <v/>
      </c>
      <c r="O12" s="42" t="n">
        <v>18000000</v>
      </c>
      <c r="P12" s="42" t="n">
        <v>18000000</v>
      </c>
    </row>
    <row r="13">
      <c r="A13" s="41" t="inlineStr">
        <is>
          <t xml:space="preserve">　梅（週1日相当 @40万）</t>
        </is>
      </c>
      <c r="B13" s="42" t="n">
        <v>0</v>
      </c>
      <c r="C13" s="42" t="n">
        <v>0</v>
      </c>
      <c r="D13" s="42" t="n">
        <v>0</v>
      </c>
      <c r="E13" s="42" t="n">
        <v>0</v>
      </c>
      <c r="F13" s="42" t="n">
        <v>0</v>
      </c>
      <c r="G13" s="42" t="n">
        <v>0</v>
      </c>
      <c r="H13" s="42" t="n">
        <v>0</v>
      </c>
      <c r="I13" s="42" t="n">
        <v>0</v>
      </c>
      <c r="J13" s="42" t="n">
        <v>0</v>
      </c>
      <c r="K13" s="42" t="n">
        <v>0</v>
      </c>
      <c r="L13" s="42" t="n">
        <v>0</v>
      </c>
      <c r="M13" s="42" t="n">
        <v>0</v>
      </c>
      <c r="N13" s="43">
        <f>SUM(B13:M13)</f>
        <v/>
      </c>
      <c r="O13" s="42" t="n">
        <v>2400000</v>
      </c>
      <c r="P13" s="42" t="n">
        <v>4800000</v>
      </c>
    </row>
    <row r="14">
      <c r="A14" s="41" t="inlineStr">
        <is>
          <t xml:space="preserve">　逓減期（自走移行 @35万）</t>
        </is>
      </c>
      <c r="B14" s="42" t="n">
        <v>0</v>
      </c>
      <c r="C14" s="42" t="n">
        <v>0</v>
      </c>
      <c r="D14" s="42" t="n">
        <v>0</v>
      </c>
      <c r="E14" s="42" t="n">
        <v>0</v>
      </c>
      <c r="F14" s="42" t="n">
        <v>0</v>
      </c>
      <c r="G14" s="42" t="n">
        <v>0</v>
      </c>
      <c r="H14" s="42" t="n">
        <v>0</v>
      </c>
      <c r="I14" s="42" t="n">
        <v>0</v>
      </c>
      <c r="J14" s="42" t="n">
        <v>0</v>
      </c>
      <c r="K14" s="42" t="n">
        <v>0</v>
      </c>
      <c r="L14" s="42" t="n">
        <v>0</v>
      </c>
      <c r="M14" s="42" t="n">
        <v>0</v>
      </c>
      <c r="N14" s="43">
        <f>SUM(B14:M14)</f>
        <v/>
      </c>
      <c r="O14" s="42" t="n">
        <v>1400000</v>
      </c>
      <c r="P14" s="42" t="n">
        <v>2800000</v>
      </c>
    </row>
    <row r="15">
      <c r="A15" s="44" t="inlineStr">
        <is>
          <t xml:space="preserve">　伴走支援 小計</t>
        </is>
      </c>
      <c r="B15" s="45">
        <f>B11+B12+B13+B14</f>
        <v/>
      </c>
      <c r="C15" s="45">
        <f>C11+C12+C13+C14</f>
        <v/>
      </c>
      <c r="D15" s="45">
        <f>D11+D12+D13+D14</f>
        <v/>
      </c>
      <c r="E15" s="45">
        <f>E11+E12+E13+E14</f>
        <v/>
      </c>
      <c r="F15" s="45">
        <f>F11+F12+F13+F14</f>
        <v/>
      </c>
      <c r="G15" s="45">
        <f>G11+G12+G13+G14</f>
        <v/>
      </c>
      <c r="H15" s="45">
        <f>H11+H12+H13+H14</f>
        <v/>
      </c>
      <c r="I15" s="45">
        <f>I11+I12+I13+I14</f>
        <v/>
      </c>
      <c r="J15" s="45">
        <f>J11+J12+J13+J14</f>
        <v/>
      </c>
      <c r="K15" s="45">
        <f>K11+K12+K13+K14</f>
        <v/>
      </c>
      <c r="L15" s="45">
        <f>L11+L12+L13+L14</f>
        <v/>
      </c>
      <c r="M15" s="45">
        <f>M11+M12+M13+M14</f>
        <v/>
      </c>
      <c r="N15" s="45">
        <f>N11+N12+N13+N14</f>
        <v/>
      </c>
      <c r="O15" s="45">
        <f>O11+O12+O13+O14</f>
        <v/>
      </c>
      <c r="P15" s="45">
        <f>P11+P12+P13+P14</f>
        <v/>
      </c>
    </row>
    <row r="16">
      <c r="A16" s="39" t="inlineStr">
        <is>
          <t>③ ライト契約（自走後・継続）</t>
        </is>
      </c>
      <c r="B16" s="40" t="n"/>
      <c r="C16" s="40" t="n"/>
      <c r="D16" s="40" t="n"/>
      <c r="E16" s="40" t="n"/>
      <c r="F16" s="40" t="n"/>
      <c r="G16" s="40" t="n"/>
      <c r="H16" s="40" t="n"/>
      <c r="I16" s="40" t="n"/>
      <c r="J16" s="40" t="n"/>
      <c r="K16" s="40" t="n"/>
      <c r="L16" s="40" t="n"/>
      <c r="M16" s="40" t="n"/>
      <c r="N16" s="40" t="n"/>
      <c r="O16" s="40" t="n"/>
      <c r="P16" s="40" t="n"/>
    </row>
    <row r="17">
      <c r="A17" s="41" t="inlineStr">
        <is>
          <t xml:space="preserve">　ライト（@7万）</t>
        </is>
      </c>
      <c r="B17" s="42" t="n">
        <v>0</v>
      </c>
      <c r="C17" s="42" t="n">
        <v>0</v>
      </c>
      <c r="D17" s="42" t="n">
        <v>0</v>
      </c>
      <c r="E17" s="42" t="n">
        <v>0</v>
      </c>
      <c r="F17" s="42" t="n">
        <v>0</v>
      </c>
      <c r="G17" s="42" t="n">
        <v>0</v>
      </c>
      <c r="H17" s="42" t="n">
        <v>0</v>
      </c>
      <c r="I17" s="42" t="n">
        <v>0</v>
      </c>
      <c r="J17" s="42" t="n">
        <v>0</v>
      </c>
      <c r="K17" s="42" t="n">
        <v>0</v>
      </c>
      <c r="L17" s="42" t="n">
        <v>0</v>
      </c>
      <c r="M17" s="42" t="n">
        <v>0</v>
      </c>
      <c r="N17" s="43">
        <f>SUM(B17:M17)</f>
        <v/>
      </c>
      <c r="O17" s="42" t="n">
        <v>840000</v>
      </c>
      <c r="P17" s="42" t="n">
        <v>1680000</v>
      </c>
    </row>
    <row r="18">
      <c r="A18" s="39" t="inlineStr">
        <is>
          <t>④ 既存受託（立ち上げの土台）</t>
        </is>
      </c>
      <c r="B18" s="40" t="n"/>
      <c r="C18" s="40" t="n"/>
      <c r="D18" s="40" t="n"/>
      <c r="E18" s="40" t="n"/>
      <c r="F18" s="40" t="n"/>
      <c r="G18" s="40" t="n"/>
      <c r="H18" s="40" t="n"/>
      <c r="I18" s="40" t="n"/>
      <c r="J18" s="40" t="n"/>
      <c r="K18" s="40" t="n"/>
      <c r="L18" s="40" t="n"/>
      <c r="M18" s="40" t="n"/>
      <c r="N18" s="40" t="n"/>
      <c r="O18" s="40" t="n"/>
      <c r="P18" s="40" t="n"/>
    </row>
    <row r="19">
      <c r="A19" s="41" t="inlineStr">
        <is>
          <t xml:space="preserve">　既存受託（@40万/月）</t>
        </is>
      </c>
      <c r="B19" s="42" t="n">
        <v>400000</v>
      </c>
      <c r="C19" s="42" t="n">
        <v>400000</v>
      </c>
      <c r="D19" s="42" t="n">
        <v>400000</v>
      </c>
      <c r="E19" s="42" t="n">
        <v>400000</v>
      </c>
      <c r="F19" s="42" t="n">
        <v>400000</v>
      </c>
      <c r="G19" s="42" t="n">
        <v>400000</v>
      </c>
      <c r="H19" s="42" t="n">
        <v>400000</v>
      </c>
      <c r="I19" s="42" t="n">
        <v>400000</v>
      </c>
      <c r="J19" s="42" t="n">
        <v>400000</v>
      </c>
      <c r="K19" s="42" t="n">
        <v>400000</v>
      </c>
      <c r="L19" s="42" t="n">
        <v>400000</v>
      </c>
      <c r="M19" s="42" t="n">
        <v>400000</v>
      </c>
      <c r="N19" s="43">
        <f>SUM(B19:M19)</f>
        <v/>
      </c>
      <c r="O19" s="42" t="n">
        <v>4800000</v>
      </c>
      <c r="P19" s="42" t="n">
        <v>4800000</v>
      </c>
    </row>
    <row r="20">
      <c r="A20" s="46" t="inlineStr">
        <is>
          <t>売上高 合計</t>
        </is>
      </c>
      <c r="B20" s="47">
        <f>B9+B15+B17+B19</f>
        <v/>
      </c>
      <c r="C20" s="47">
        <f>C9+C15+C17+C19</f>
        <v/>
      </c>
      <c r="D20" s="47">
        <f>D9+D15+D17+D19</f>
        <v/>
      </c>
      <c r="E20" s="47">
        <f>E9+E15+E17+E19</f>
        <v/>
      </c>
      <c r="F20" s="47">
        <f>F9+F15+F17+F19</f>
        <v/>
      </c>
      <c r="G20" s="47">
        <f>G9+G15+G17+G19</f>
        <v/>
      </c>
      <c r="H20" s="47">
        <f>H9+H15+H17+H19</f>
        <v/>
      </c>
      <c r="I20" s="47">
        <f>I9+I15+I17+I19</f>
        <v/>
      </c>
      <c r="J20" s="47">
        <f>J9+J15+J17+J19</f>
        <v/>
      </c>
      <c r="K20" s="47">
        <f>K9+K15+K17+K19</f>
        <v/>
      </c>
      <c r="L20" s="47">
        <f>L9+L15+L17+L19</f>
        <v/>
      </c>
      <c r="M20" s="47">
        <f>M9+M15+M17+M19</f>
        <v/>
      </c>
      <c r="N20" s="47">
        <f>N9+N15+N17+N19</f>
        <v/>
      </c>
      <c r="O20" s="47">
        <f>O9+O15+O17+O19</f>
        <v/>
      </c>
      <c r="P20" s="47">
        <f>P9+P15+P17+P19</f>
        <v/>
      </c>
    </row>
    <row r="21">
      <c r="A21" s="41" t="inlineStr">
        <is>
          <t>売上原価（伴走は原価なし）</t>
        </is>
      </c>
      <c r="B21" s="43" t="n">
        <v>0</v>
      </c>
      <c r="C21" s="43" t="n">
        <v>0</v>
      </c>
      <c r="D21" s="43" t="n">
        <v>0</v>
      </c>
      <c r="E21" s="43" t="n">
        <v>0</v>
      </c>
      <c r="F21" s="43" t="n">
        <v>0</v>
      </c>
      <c r="G21" s="43" t="n">
        <v>0</v>
      </c>
      <c r="H21" s="43" t="n">
        <v>0</v>
      </c>
      <c r="I21" s="43" t="n">
        <v>0</v>
      </c>
      <c r="J21" s="43" t="n">
        <v>0</v>
      </c>
      <c r="K21" s="43" t="n">
        <v>0</v>
      </c>
      <c r="L21" s="43" t="n">
        <v>0</v>
      </c>
      <c r="M21" s="43" t="n">
        <v>0</v>
      </c>
      <c r="N21" s="43" t="n">
        <v>0</v>
      </c>
      <c r="O21" s="43" t="n">
        <v>0</v>
      </c>
      <c r="P21" s="43" t="n">
        <v>0</v>
      </c>
    </row>
    <row r="22">
      <c r="A22" s="44" t="inlineStr">
        <is>
          <t>粗利（＝売上高）</t>
        </is>
      </c>
      <c r="B22" s="45">
        <f>B20-B21</f>
        <v/>
      </c>
      <c r="C22" s="45">
        <f>C20-C21</f>
        <v/>
      </c>
      <c r="D22" s="45">
        <f>D20-D21</f>
        <v/>
      </c>
      <c r="E22" s="45">
        <f>E20-E21</f>
        <v/>
      </c>
      <c r="F22" s="45">
        <f>F20-F21</f>
        <v/>
      </c>
      <c r="G22" s="45">
        <f>G20-G21</f>
        <v/>
      </c>
      <c r="H22" s="45">
        <f>H20-H21</f>
        <v/>
      </c>
      <c r="I22" s="45">
        <f>I20-I21</f>
        <v/>
      </c>
      <c r="J22" s="45">
        <f>J20-J21</f>
        <v/>
      </c>
      <c r="K22" s="45">
        <f>K20-K21</f>
        <v/>
      </c>
      <c r="L22" s="45">
        <f>L20-L21</f>
        <v/>
      </c>
      <c r="M22" s="45">
        <f>M20-M21</f>
        <v/>
      </c>
      <c r="N22" s="45">
        <f>N20-N21</f>
        <v/>
      </c>
      <c r="O22" s="45">
        <f>O20-O21</f>
        <v/>
      </c>
      <c r="P22" s="45">
        <f>P20-P21</f>
        <v/>
      </c>
    </row>
    <row r="23">
      <c r="A23" s="36" t="inlineStr">
        <is>
          <t>【販管費の部】</t>
        </is>
      </c>
      <c r="B23" s="38" t="n"/>
      <c r="C23" s="38" t="n"/>
      <c r="D23" s="38" t="n"/>
      <c r="E23" s="38" t="n"/>
      <c r="F23" s="38" t="n"/>
      <c r="G23" s="38" t="n"/>
      <c r="H23" s="38" t="n"/>
      <c r="I23" s="38" t="n"/>
      <c r="J23" s="38" t="n"/>
      <c r="K23" s="38" t="n"/>
      <c r="L23" s="38" t="n"/>
      <c r="M23" s="38" t="n"/>
      <c r="N23" s="38" t="n"/>
      <c r="O23" s="38" t="n"/>
      <c r="P23" s="38" t="n"/>
    </row>
    <row r="24">
      <c r="A24" s="41" t="inlineStr">
        <is>
          <t xml:space="preserve">　役員報酬（Y1=7万固定・定期同額）</t>
        </is>
      </c>
      <c r="B24" s="42" t="n">
        <v>70000</v>
      </c>
      <c r="C24" s="42" t="n">
        <v>70000</v>
      </c>
      <c r="D24" s="42" t="n">
        <v>70000</v>
      </c>
      <c r="E24" s="42" t="n">
        <v>70000</v>
      </c>
      <c r="F24" s="42" t="n">
        <v>70000</v>
      </c>
      <c r="G24" s="42" t="n">
        <v>70000</v>
      </c>
      <c r="H24" s="42" t="n">
        <v>70000</v>
      </c>
      <c r="I24" s="42" t="n">
        <v>70000</v>
      </c>
      <c r="J24" s="42" t="n">
        <v>70000</v>
      </c>
      <c r="K24" s="42" t="n">
        <v>70000</v>
      </c>
      <c r="L24" s="42" t="n">
        <v>70000</v>
      </c>
      <c r="M24" s="42" t="n">
        <v>70000</v>
      </c>
      <c r="N24" s="43">
        <f>SUM(B24:M24)</f>
        <v/>
      </c>
      <c r="O24" s="43">
        <f>N24</f>
        <v/>
      </c>
      <c r="P24" s="43">
        <f>O24</f>
        <v/>
      </c>
    </row>
    <row r="25">
      <c r="A25" s="41" t="inlineStr">
        <is>
          <t xml:space="preserve">　給与手当（一人会社・従業員なし）</t>
        </is>
      </c>
      <c r="B25" s="42" t="n">
        <v>0</v>
      </c>
      <c r="C25" s="42" t="n">
        <v>0</v>
      </c>
      <c r="D25" s="42" t="n">
        <v>0</v>
      </c>
      <c r="E25" s="42" t="n">
        <v>0</v>
      </c>
      <c r="F25" s="42" t="n">
        <v>0</v>
      </c>
      <c r="G25" s="42" t="n">
        <v>0</v>
      </c>
      <c r="H25" s="42" t="n">
        <v>0</v>
      </c>
      <c r="I25" s="42" t="n">
        <v>0</v>
      </c>
      <c r="J25" s="42" t="n">
        <v>0</v>
      </c>
      <c r="K25" s="42" t="n">
        <v>0</v>
      </c>
      <c r="L25" s="42" t="n">
        <v>0</v>
      </c>
      <c r="M25" s="42" t="n">
        <v>0</v>
      </c>
      <c r="N25" s="43">
        <f>SUM(B25:M25)</f>
        <v/>
      </c>
      <c r="O25" s="43">
        <f>N25</f>
        <v/>
      </c>
      <c r="P25" s="43">
        <f>O25</f>
        <v/>
      </c>
    </row>
    <row r="26">
      <c r="A26" s="41" t="inlineStr">
        <is>
          <t xml:space="preserve">　法定福利費（社保・最低等級概算）</t>
        </is>
      </c>
      <c r="B26" s="42" t="n">
        <v>11000</v>
      </c>
      <c r="C26" s="42" t="n">
        <v>11000</v>
      </c>
      <c r="D26" s="42" t="n">
        <v>11000</v>
      </c>
      <c r="E26" s="42" t="n">
        <v>11000</v>
      </c>
      <c r="F26" s="42" t="n">
        <v>11000</v>
      </c>
      <c r="G26" s="42" t="n">
        <v>11000</v>
      </c>
      <c r="H26" s="42" t="n">
        <v>11000</v>
      </c>
      <c r="I26" s="42" t="n">
        <v>11000</v>
      </c>
      <c r="J26" s="42" t="n">
        <v>11000</v>
      </c>
      <c r="K26" s="42" t="n">
        <v>11000</v>
      </c>
      <c r="L26" s="42" t="n">
        <v>11000</v>
      </c>
      <c r="M26" s="42" t="n">
        <v>11000</v>
      </c>
      <c r="N26" s="43">
        <f>SUM(B26:M26)</f>
        <v/>
      </c>
      <c r="O26" s="43">
        <f>N26</f>
        <v/>
      </c>
      <c r="P26" s="43">
        <f>O26</f>
        <v/>
      </c>
    </row>
    <row r="27">
      <c r="A27" s="41" t="inlineStr">
        <is>
          <t xml:space="preserve">　外注費（要確認・案件連動）</t>
        </is>
      </c>
      <c r="B27" s="42" t="n">
        <v>0</v>
      </c>
      <c r="C27" s="42" t="n">
        <v>0</v>
      </c>
      <c r="D27" s="42" t="n">
        <v>0</v>
      </c>
      <c r="E27" s="42" t="n">
        <v>0</v>
      </c>
      <c r="F27" s="42" t="n">
        <v>0</v>
      </c>
      <c r="G27" s="42" t="n">
        <v>0</v>
      </c>
      <c r="H27" s="42" t="n">
        <v>0</v>
      </c>
      <c r="I27" s="42" t="n">
        <v>0</v>
      </c>
      <c r="J27" s="42" t="n">
        <v>0</v>
      </c>
      <c r="K27" s="42" t="n">
        <v>0</v>
      </c>
      <c r="L27" s="42" t="n">
        <v>0</v>
      </c>
      <c r="M27" s="42" t="n">
        <v>0</v>
      </c>
      <c r="N27" s="43">
        <f>SUM(B27:M27)</f>
        <v/>
      </c>
      <c r="O27" s="43">
        <f>N27</f>
        <v/>
      </c>
      <c r="P27" s="43">
        <f>O27</f>
        <v/>
      </c>
    </row>
    <row r="28">
      <c r="A28" s="41" t="inlineStr">
        <is>
          <t xml:space="preserve">　地代家賃（役員社宅・純額＝20万−5万）</t>
        </is>
      </c>
      <c r="B28" s="42" t="n">
        <v>150000</v>
      </c>
      <c r="C28" s="42" t="n">
        <v>150000</v>
      </c>
      <c r="D28" s="42" t="n">
        <v>150000</v>
      </c>
      <c r="E28" s="42" t="n">
        <v>150000</v>
      </c>
      <c r="F28" s="42" t="n">
        <v>150000</v>
      </c>
      <c r="G28" s="42" t="n">
        <v>150000</v>
      </c>
      <c r="H28" s="42" t="n">
        <v>150000</v>
      </c>
      <c r="I28" s="42" t="n">
        <v>150000</v>
      </c>
      <c r="J28" s="42" t="n">
        <v>150000</v>
      </c>
      <c r="K28" s="42" t="n">
        <v>150000</v>
      </c>
      <c r="L28" s="42" t="n">
        <v>150000</v>
      </c>
      <c r="M28" s="42" t="n">
        <v>150000</v>
      </c>
      <c r="N28" s="43">
        <f>SUM(B28:M28)</f>
        <v/>
      </c>
      <c r="O28" s="43">
        <f>N28</f>
        <v/>
      </c>
      <c r="P28" s="43">
        <f>O28</f>
        <v/>
      </c>
    </row>
    <row r="29">
      <c r="A29" s="41" t="inlineStr">
        <is>
          <t xml:space="preserve">　水道光熱費（社宅は個人負担）</t>
        </is>
      </c>
      <c r="B29" s="42" t="n">
        <v>0</v>
      </c>
      <c r="C29" s="42" t="n">
        <v>0</v>
      </c>
      <c r="D29" s="42" t="n">
        <v>0</v>
      </c>
      <c r="E29" s="42" t="n">
        <v>0</v>
      </c>
      <c r="F29" s="42" t="n">
        <v>0</v>
      </c>
      <c r="G29" s="42" t="n">
        <v>0</v>
      </c>
      <c r="H29" s="42" t="n">
        <v>0</v>
      </c>
      <c r="I29" s="42" t="n">
        <v>0</v>
      </c>
      <c r="J29" s="42" t="n">
        <v>0</v>
      </c>
      <c r="K29" s="42" t="n">
        <v>0</v>
      </c>
      <c r="L29" s="42" t="n">
        <v>0</v>
      </c>
      <c r="M29" s="42" t="n">
        <v>0</v>
      </c>
      <c r="N29" s="43">
        <f>SUM(B29:M29)</f>
        <v/>
      </c>
      <c r="O29" s="43">
        <f>N29</f>
        <v/>
      </c>
      <c r="P29" s="43">
        <f>O29</f>
        <v/>
      </c>
    </row>
    <row r="30">
      <c r="A30" s="41" t="inlineStr">
        <is>
          <t xml:space="preserve">　通信費</t>
        </is>
      </c>
      <c r="B30" s="42" t="n">
        <v>50000</v>
      </c>
      <c r="C30" s="42" t="n">
        <v>50000</v>
      </c>
      <c r="D30" s="42" t="n">
        <v>50000</v>
      </c>
      <c r="E30" s="42" t="n">
        <v>50000</v>
      </c>
      <c r="F30" s="42" t="n">
        <v>50000</v>
      </c>
      <c r="G30" s="42" t="n">
        <v>50000</v>
      </c>
      <c r="H30" s="42" t="n">
        <v>50000</v>
      </c>
      <c r="I30" s="42" t="n">
        <v>50000</v>
      </c>
      <c r="J30" s="42" t="n">
        <v>50000</v>
      </c>
      <c r="K30" s="42" t="n">
        <v>50000</v>
      </c>
      <c r="L30" s="42" t="n">
        <v>50000</v>
      </c>
      <c r="M30" s="42" t="n">
        <v>50000</v>
      </c>
      <c r="N30" s="43">
        <f>SUM(B30:M30)</f>
        <v/>
      </c>
      <c r="O30" s="43">
        <f>N30</f>
        <v/>
      </c>
      <c r="P30" s="43">
        <f>O30</f>
        <v/>
      </c>
    </row>
    <row r="31">
      <c r="A31" s="41" t="inlineStr">
        <is>
          <t xml:space="preserve">　会議費（接待交際含む・要確認）</t>
        </is>
      </c>
      <c r="B31" s="42" t="n">
        <v>0</v>
      </c>
      <c r="C31" s="42" t="n">
        <v>0</v>
      </c>
      <c r="D31" s="42" t="n">
        <v>0</v>
      </c>
      <c r="E31" s="42" t="n">
        <v>0</v>
      </c>
      <c r="F31" s="42" t="n">
        <v>0</v>
      </c>
      <c r="G31" s="42" t="n">
        <v>0</v>
      </c>
      <c r="H31" s="42" t="n">
        <v>0</v>
      </c>
      <c r="I31" s="42" t="n">
        <v>0</v>
      </c>
      <c r="J31" s="42" t="n">
        <v>0</v>
      </c>
      <c r="K31" s="42" t="n">
        <v>0</v>
      </c>
      <c r="L31" s="42" t="n">
        <v>0</v>
      </c>
      <c r="M31" s="42" t="n">
        <v>0</v>
      </c>
      <c r="N31" s="43">
        <f>SUM(B31:M31)</f>
        <v/>
      </c>
      <c r="O31" s="43">
        <f>N31</f>
        <v/>
      </c>
      <c r="P31" s="43">
        <f>O31</f>
        <v/>
      </c>
    </row>
    <row r="32">
      <c r="A32" s="41" t="inlineStr">
        <is>
          <t xml:space="preserve">　旅費交通費（基本オンライン・要確認）</t>
        </is>
      </c>
      <c r="B32" s="42" t="n">
        <v>0</v>
      </c>
      <c r="C32" s="42" t="n">
        <v>0</v>
      </c>
      <c r="D32" s="42" t="n">
        <v>0</v>
      </c>
      <c r="E32" s="42" t="n">
        <v>0</v>
      </c>
      <c r="F32" s="42" t="n">
        <v>0</v>
      </c>
      <c r="G32" s="42" t="n">
        <v>0</v>
      </c>
      <c r="H32" s="42" t="n">
        <v>0</v>
      </c>
      <c r="I32" s="42" t="n">
        <v>0</v>
      </c>
      <c r="J32" s="42" t="n">
        <v>0</v>
      </c>
      <c r="K32" s="42" t="n">
        <v>0</v>
      </c>
      <c r="L32" s="42" t="n">
        <v>0</v>
      </c>
      <c r="M32" s="42" t="n">
        <v>0</v>
      </c>
      <c r="N32" s="43">
        <f>SUM(B32:M32)</f>
        <v/>
      </c>
      <c r="O32" s="43">
        <f>N32</f>
        <v/>
      </c>
      <c r="P32" s="43">
        <f>O32</f>
        <v/>
      </c>
    </row>
    <row r="33">
      <c r="A33" s="41" t="inlineStr">
        <is>
          <t xml:space="preserve">　広告宣伝費（登壇/発信中心・要確認）</t>
        </is>
      </c>
      <c r="B33" s="42" t="n">
        <v>0</v>
      </c>
      <c r="C33" s="42" t="n">
        <v>0</v>
      </c>
      <c r="D33" s="42" t="n">
        <v>0</v>
      </c>
      <c r="E33" s="42" t="n">
        <v>0</v>
      </c>
      <c r="F33" s="42" t="n">
        <v>0</v>
      </c>
      <c r="G33" s="42" t="n">
        <v>0</v>
      </c>
      <c r="H33" s="42" t="n">
        <v>0</v>
      </c>
      <c r="I33" s="42" t="n">
        <v>0</v>
      </c>
      <c r="J33" s="42" t="n">
        <v>0</v>
      </c>
      <c r="K33" s="42" t="n">
        <v>0</v>
      </c>
      <c r="L33" s="42" t="n">
        <v>0</v>
      </c>
      <c r="M33" s="42" t="n">
        <v>0</v>
      </c>
      <c r="N33" s="43">
        <f>SUM(B33:M33)</f>
        <v/>
      </c>
      <c r="O33" s="43">
        <f>N33</f>
        <v/>
      </c>
      <c r="P33" s="43">
        <f>O33</f>
        <v/>
      </c>
    </row>
    <row r="34">
      <c r="A34" s="41" t="inlineStr">
        <is>
          <t xml:space="preserve">　支払手数料（税理士顧問料）</t>
        </is>
      </c>
      <c r="B34" s="42" t="n">
        <v>30000</v>
      </c>
      <c r="C34" s="42" t="n">
        <v>30000</v>
      </c>
      <c r="D34" s="42" t="n">
        <v>30000</v>
      </c>
      <c r="E34" s="42" t="n">
        <v>30000</v>
      </c>
      <c r="F34" s="42" t="n">
        <v>30000</v>
      </c>
      <c r="G34" s="42" t="n">
        <v>30000</v>
      </c>
      <c r="H34" s="42" t="n">
        <v>30000</v>
      </c>
      <c r="I34" s="42" t="n">
        <v>30000</v>
      </c>
      <c r="J34" s="42" t="n">
        <v>30000</v>
      </c>
      <c r="K34" s="42" t="n">
        <v>30000</v>
      </c>
      <c r="L34" s="42" t="n">
        <v>30000</v>
      </c>
      <c r="M34" s="42" t="n">
        <v>30000</v>
      </c>
      <c r="N34" s="43">
        <f>SUM(B34:M34)</f>
        <v/>
      </c>
      <c r="O34" s="43">
        <f>N34</f>
        <v/>
      </c>
      <c r="P34" s="43">
        <f>O34</f>
        <v/>
      </c>
    </row>
    <row r="35">
      <c r="A35" s="41" t="inlineStr">
        <is>
          <t xml:space="preserve">　雑費（消耗品等）</t>
        </is>
      </c>
      <c r="B35" s="42" t="n">
        <v>5000</v>
      </c>
      <c r="C35" s="42" t="n">
        <v>5000</v>
      </c>
      <c r="D35" s="42" t="n">
        <v>5000</v>
      </c>
      <c r="E35" s="42" t="n">
        <v>5000</v>
      </c>
      <c r="F35" s="42" t="n">
        <v>5000</v>
      </c>
      <c r="G35" s="42" t="n">
        <v>5000</v>
      </c>
      <c r="H35" s="42" t="n">
        <v>5000</v>
      </c>
      <c r="I35" s="42" t="n">
        <v>5000</v>
      </c>
      <c r="J35" s="42" t="n">
        <v>5000</v>
      </c>
      <c r="K35" s="42" t="n">
        <v>5000</v>
      </c>
      <c r="L35" s="42" t="n">
        <v>5000</v>
      </c>
      <c r="M35" s="42" t="n">
        <v>5000</v>
      </c>
      <c r="N35" s="43">
        <f>SUM(B35:M35)</f>
        <v/>
      </c>
      <c r="O35" s="43">
        <f>N35</f>
        <v/>
      </c>
      <c r="P35" s="43">
        <f>O35</f>
        <v/>
      </c>
    </row>
    <row r="36">
      <c r="A36" s="44" t="inlineStr">
        <is>
          <t>販管費 合計</t>
        </is>
      </c>
      <c r="B36" s="45">
        <f>SUM(B24:B35)</f>
        <v/>
      </c>
      <c r="C36" s="45">
        <f>SUM(C24:C35)</f>
        <v/>
      </c>
      <c r="D36" s="45">
        <f>SUM(D24:D35)</f>
        <v/>
      </c>
      <c r="E36" s="45">
        <f>SUM(E24:E35)</f>
        <v/>
      </c>
      <c r="F36" s="45">
        <f>SUM(F24:F35)</f>
        <v/>
      </c>
      <c r="G36" s="45">
        <f>SUM(G24:G35)</f>
        <v/>
      </c>
      <c r="H36" s="45">
        <f>SUM(H24:H35)</f>
        <v/>
      </c>
      <c r="I36" s="45">
        <f>SUM(I24:I35)</f>
        <v/>
      </c>
      <c r="J36" s="45">
        <f>SUM(J24:J35)</f>
        <v/>
      </c>
      <c r="K36" s="45">
        <f>SUM(K24:K35)</f>
        <v/>
      </c>
      <c r="L36" s="45">
        <f>SUM(L24:L35)</f>
        <v/>
      </c>
      <c r="M36" s="45">
        <f>SUM(M24:M35)</f>
        <v/>
      </c>
      <c r="N36" s="45">
        <f>SUM(N24:N35)</f>
        <v/>
      </c>
      <c r="O36" s="45">
        <f>SUM(O24:O35)</f>
        <v/>
      </c>
      <c r="P36" s="45">
        <f>SUM(P24:P35)</f>
        <v/>
      </c>
    </row>
    <row r="37">
      <c r="A37" s="46" t="inlineStr">
        <is>
          <t>営業利益</t>
        </is>
      </c>
      <c r="B37" s="47">
        <f>B22-B36</f>
        <v/>
      </c>
      <c r="C37" s="47">
        <f>C22-C36</f>
        <v/>
      </c>
      <c r="D37" s="47">
        <f>D22-D36</f>
        <v/>
      </c>
      <c r="E37" s="47">
        <f>E22-E36</f>
        <v/>
      </c>
      <c r="F37" s="47">
        <f>F22-F36</f>
        <v/>
      </c>
      <c r="G37" s="47">
        <f>G22-G36</f>
        <v/>
      </c>
      <c r="H37" s="47">
        <f>H22-H36</f>
        <v/>
      </c>
      <c r="I37" s="47">
        <f>I22-I36</f>
        <v/>
      </c>
      <c r="J37" s="47">
        <f>J22-J36</f>
        <v/>
      </c>
      <c r="K37" s="47">
        <f>K22-K36</f>
        <v/>
      </c>
      <c r="L37" s="47">
        <f>L22-L36</f>
        <v/>
      </c>
      <c r="M37" s="47">
        <f>M22-M36</f>
        <v/>
      </c>
      <c r="N37" s="47">
        <f>N22-N36</f>
        <v/>
      </c>
      <c r="O37" s="47">
        <f>O22-O36</f>
        <v/>
      </c>
      <c r="P37" s="47">
        <f>P22-P36</f>
        <v/>
      </c>
    </row>
    <row r="39">
      <c r="A39" s="35" t="inlineStr">
        <is>
          <t>＜参考：テンプレート標準外（融資審査用に当事業の実態を補足）＞</t>
        </is>
      </c>
    </row>
    <row r="40">
      <c r="A40" s="41" t="inlineStr">
        <is>
          <t>消費税（簡易課税・第5種50%）</t>
        </is>
      </c>
      <c r="N40" s="43">
        <f>ROUND(N20*0.1*(1-0.5),0)</f>
        <v/>
      </c>
      <c r="O40" s="43">
        <f>ROUND(O20*0.1*(1-0.5),0)</f>
        <v/>
      </c>
      <c r="P40" s="43">
        <f>ROUND(P20*0.1*(1-0.5),0)</f>
        <v/>
      </c>
    </row>
    <row r="41">
      <c r="A41" s="41" t="inlineStr">
        <is>
          <t>法人税等（実効25%＋均等割7万）</t>
        </is>
      </c>
      <c r="N41" s="43">
        <f>ROUND(N37*0.25,0)+70000</f>
        <v/>
      </c>
      <c r="O41" s="43">
        <f>ROUND(O37*0.25,0)+70000</f>
        <v/>
      </c>
      <c r="P41" s="43">
        <f>ROUND(P37*0.25,0)+70000</f>
        <v/>
      </c>
    </row>
    <row r="42">
      <c r="A42" s="39" t="inlineStr">
        <is>
          <t>税引後利益（参考）</t>
        </is>
      </c>
      <c r="N42" s="48">
        <f>N37-N41</f>
        <v/>
      </c>
      <c r="O42" s="48">
        <f>O37-O41</f>
        <v/>
      </c>
      <c r="P42" s="48">
        <f>P37-P41</f>
        <v/>
      </c>
    </row>
    <row r="44">
      <c r="A44" s="35" t="inlineStr">
        <is>
          <t>【サービス／プラン構成】売上を「①診断サービス→②伴走支援→③ライト→④既存受託」のサービス単位に再編し、各サービス内にプランを内包（黄＝入力／金額＝数量×単価のたたき台）。</t>
        </is>
      </c>
    </row>
    <row r="45">
      <c r="A45" s="35" t="inlineStr">
        <is>
          <t>・診断サービス：立ち上げ（先着5社割引@10万）／竹（標準@30万）。松（@50万〜）は現ターゲット規模では不要として除外。</t>
        </is>
      </c>
    </row>
    <row r="46">
      <c r="A46" s="35" t="inlineStr">
        <is>
          <t>・伴走支援：松（週3日相当@110万）／竹（週2日相当@75万＝現行主力）／梅（週1日相当@40万）／逓減期（自走移行@35万）。松・梅・逓減の単価は人件費基準が未確定の仮置き。現状は本人1名のため松は数量0（拡張時に稼働）。</t>
        </is>
      </c>
    </row>
    <row r="47">
      <c r="A47" s="35" t="inlineStr">
        <is>
          <t>・逓減期は売上計上する（濃い伴走→逓減→ライトの経過を金額化）。</t>
        </is>
      </c>
    </row>
    <row r="48">
      <c r="A48" s="35" t="inlineStr">
        <is>
          <t>【期・タイミング】1期=2023/6〜12、以後1〜12月。本表は当期4期(2026)〜翌々期6期(2028)。新規受注は2026年8月以降に後ろ倒し（6月時点で未着手のため）。</t>
        </is>
      </c>
    </row>
    <row r="49">
      <c r="A49" s="35" t="inlineStr">
        <is>
          <t>【売上原価0】コンサル/伴走は仕入原価なし。実装外注が出れば販管費「外注費」に計上。粗利＝売上高。</t>
        </is>
      </c>
    </row>
    <row r="50">
      <c r="A50" s="35" t="inlineStr">
        <is>
          <t>【コスト】給与手当0＝一人会社／法定福利費＝社保最低等級11,000円／地代家賃15万＝役員社宅の純額（会社負担20万−本人負担5万）／支払手数料＝税理士顧問料／雑費＝消耗品。「0・要確認」科目は実数確定後に上書き。</t>
        </is>
      </c>
    </row>
    <row r="51">
      <c r="A51" s="35" t="inlineStr">
        <is>
          <t>【注意】当期〜翌々期とも役員報酬7万円据置のため営業利益・法人税が過大。翌期(2027)以降は報酬を最適額へ引き上げ法人税＋所得税＋社保の合計を最小化（別タスク）。</t>
        </is>
      </c>
    </row>
    <row r="52">
      <c r="A52" s="35" t="inlineStr">
        <is>
          <t>※数量・単価はすべてたたき台（税抜・概算）。出所：deliverables/keiei_model.xlsx（前提・Year1_月次・3年_四半期）。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2026-06-22T03:20:28Z</dcterms:modified>
  <cp:lastModifiedBy>Yuki Ishida</cp:lastModifiedBy>
</cp:coreProperties>
</file>