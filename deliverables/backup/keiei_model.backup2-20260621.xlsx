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izis\iterra.jp\iterra-business-design\deliverables\"/>
    </mc:Choice>
  </mc:AlternateContent>
  <xr:revisionPtr revIDLastSave="0" documentId="13_ncr:1_{3B94D146-308B-43FF-A741-8994385F392D}" xr6:coauthVersionLast="47" xr6:coauthVersionMax="47" xr10:uidLastSave="{00000000-0000-0000-0000-000000000000}"/>
  <bookViews>
    <workbookView xWindow="-110" yWindow="-110" windowWidth="23260" windowHeight="14860" tabRatio="500" firstSheet="6" activeTab="10" xr2:uid="{00000000-000D-0000-FFFF-FFFF00000000}"/>
  </bookViews>
  <sheets>
    <sheet name="前提" sheetId="1" r:id="rId1"/>
    <sheet name="Year1_月次" sheetId="2" r:id="rId2"/>
    <sheet name="3年_四半期" sheetId="3" r:id="rId3"/>
    <sheet name="読み方" sheetId="4" r:id="rId4"/>
    <sheet name="PL_損益_Y1" sheetId="5" r:id="rId5"/>
    <sheet name="CF_現金_Y1" sheetId="6" r:id="rId6"/>
    <sheet name="営業ファネル_Y1" sheetId="7" r:id="rId7"/>
    <sheet name="個人サバイバル" sheetId="8" r:id="rId8"/>
    <sheet name="PL_3年" sheetId="9" r:id="rId9"/>
    <sheet name="BS_Y1末" sheetId="10" r:id="rId10"/>
    <sheet name="感度_伴走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1" l="1"/>
  <c r="C8" i="11" s="1"/>
  <c r="C5" i="11"/>
  <c r="C19" i="10"/>
  <c r="C14" i="10"/>
  <c r="E7" i="9"/>
  <c r="D7" i="9"/>
  <c r="C9" i="8"/>
  <c r="C7" i="8"/>
  <c r="C6" i="8"/>
  <c r="C8" i="8" s="1"/>
  <c r="C5" i="8"/>
  <c r="J7" i="7"/>
  <c r="J8" i="7" s="1"/>
  <c r="J10" i="7" s="1"/>
  <c r="I7" i="7"/>
  <c r="I8" i="7" s="1"/>
  <c r="I10" i="7" s="1"/>
  <c r="N6" i="7"/>
  <c r="N11" i="7" s="1"/>
  <c r="M6" i="7"/>
  <c r="M7" i="7" s="1"/>
  <c r="M8" i="7" s="1"/>
  <c r="M10" i="7" s="1"/>
  <c r="L6" i="7"/>
  <c r="L11" i="7" s="1"/>
  <c r="K6" i="7"/>
  <c r="K7" i="7" s="1"/>
  <c r="K8" i="7" s="1"/>
  <c r="K10" i="7" s="1"/>
  <c r="J6" i="7"/>
  <c r="J11" i="7" s="1"/>
  <c r="I6" i="7"/>
  <c r="I11" i="7" s="1"/>
  <c r="H6" i="7"/>
  <c r="H11" i="7" s="1"/>
  <c r="G6" i="7"/>
  <c r="G11" i="7" s="1"/>
  <c r="F6" i="7"/>
  <c r="F11" i="7" s="1"/>
  <c r="E6" i="7"/>
  <c r="E11" i="7" s="1"/>
  <c r="D6" i="7"/>
  <c r="D11" i="7" s="1"/>
  <c r="C6" i="7"/>
  <c r="C11" i="7" s="1"/>
  <c r="F11" i="5"/>
  <c r="N10" i="5"/>
  <c r="M10" i="5"/>
  <c r="L10" i="5"/>
  <c r="K10" i="5"/>
  <c r="J10" i="5"/>
  <c r="I10" i="5"/>
  <c r="H10" i="5"/>
  <c r="G10" i="5"/>
  <c r="G11" i="5" s="1"/>
  <c r="F10" i="5"/>
  <c r="E10" i="5"/>
  <c r="D10" i="5"/>
  <c r="C10" i="5"/>
  <c r="N9" i="5"/>
  <c r="M9" i="5"/>
  <c r="L9" i="5"/>
  <c r="K9" i="5"/>
  <c r="J9" i="5"/>
  <c r="I9" i="5"/>
  <c r="H9" i="5"/>
  <c r="H11" i="5" s="1"/>
  <c r="G9" i="5"/>
  <c r="F9" i="5"/>
  <c r="E9" i="5"/>
  <c r="D9" i="5"/>
  <c r="C9" i="5"/>
  <c r="N8" i="5"/>
  <c r="N11" i="5" s="1"/>
  <c r="M8" i="5"/>
  <c r="M11" i="5" s="1"/>
  <c r="L8" i="5"/>
  <c r="L11" i="5" s="1"/>
  <c r="K8" i="5"/>
  <c r="K11" i="5" s="1"/>
  <c r="J8" i="5"/>
  <c r="J11" i="5" s="1"/>
  <c r="I8" i="5"/>
  <c r="I11" i="5" s="1"/>
  <c r="H8" i="5"/>
  <c r="G8" i="5"/>
  <c r="F8" i="5"/>
  <c r="E8" i="5"/>
  <c r="E11" i="5" s="1"/>
  <c r="D8" i="5"/>
  <c r="D11" i="5" s="1"/>
  <c r="C8" i="5"/>
  <c r="E14" i="3"/>
  <c r="D14" i="3"/>
  <c r="J13" i="3"/>
  <c r="I13" i="3"/>
  <c r="H13" i="3"/>
  <c r="G13" i="3"/>
  <c r="F13" i="3"/>
  <c r="E13" i="3"/>
  <c r="D13" i="3"/>
  <c r="E12" i="3"/>
  <c r="D12" i="3"/>
  <c r="N11" i="3"/>
  <c r="M11" i="3"/>
  <c r="L11" i="3"/>
  <c r="K11" i="3"/>
  <c r="J11" i="3"/>
  <c r="I11" i="3"/>
  <c r="H11" i="3"/>
  <c r="G11" i="3"/>
  <c r="F11" i="3"/>
  <c r="E11" i="3"/>
  <c r="D11" i="3"/>
  <c r="C11" i="3"/>
  <c r="N10" i="3"/>
  <c r="N12" i="3" s="1"/>
  <c r="M10" i="3"/>
  <c r="M12" i="3" s="1"/>
  <c r="L10" i="3"/>
  <c r="L12" i="3" s="1"/>
  <c r="K10" i="3"/>
  <c r="K12" i="3" s="1"/>
  <c r="J10" i="3"/>
  <c r="J12" i="3" s="1"/>
  <c r="J14" i="3" s="1"/>
  <c r="I10" i="3"/>
  <c r="I12" i="3" s="1"/>
  <c r="I14" i="3" s="1"/>
  <c r="H10" i="3"/>
  <c r="H12" i="3" s="1"/>
  <c r="H14" i="3" s="1"/>
  <c r="G10" i="3"/>
  <c r="G12" i="3" s="1"/>
  <c r="F10" i="3"/>
  <c r="F12" i="3" s="1"/>
  <c r="F14" i="3" s="1"/>
  <c r="E10" i="3"/>
  <c r="D10" i="3"/>
  <c r="C10" i="3"/>
  <c r="C12" i="3" s="1"/>
  <c r="I16" i="2"/>
  <c r="H16" i="2"/>
  <c r="M15" i="2"/>
  <c r="L15" i="2"/>
  <c r="K15" i="2"/>
  <c r="J15" i="2"/>
  <c r="I15" i="2"/>
  <c r="H15" i="2"/>
  <c r="G15" i="2"/>
  <c r="I13" i="2"/>
  <c r="I6" i="5" s="1"/>
  <c r="I13" i="5" s="1"/>
  <c r="I6" i="6" s="1"/>
  <c r="H13" i="2"/>
  <c r="H6" i="5" s="1"/>
  <c r="G13" i="2"/>
  <c r="G6" i="5" s="1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N13" i="2" s="1"/>
  <c r="M11" i="2"/>
  <c r="M13" i="2" s="1"/>
  <c r="L11" i="2"/>
  <c r="L13" i="2" s="1"/>
  <c r="K11" i="2"/>
  <c r="K13" i="2" s="1"/>
  <c r="K16" i="2" s="1"/>
  <c r="J11" i="2"/>
  <c r="J13" i="2" s="1"/>
  <c r="J16" i="2" s="1"/>
  <c r="I11" i="2"/>
  <c r="H11" i="2"/>
  <c r="G11" i="2"/>
  <c r="F11" i="2"/>
  <c r="F13" i="2" s="1"/>
  <c r="E11" i="2"/>
  <c r="E13" i="2" s="1"/>
  <c r="D11" i="2"/>
  <c r="D13" i="2" s="1"/>
  <c r="C11" i="2"/>
  <c r="C13" i="2" s="1"/>
  <c r="C7" i="1"/>
  <c r="C13" i="3" s="1"/>
  <c r="N6" i="5" l="1"/>
  <c r="N13" i="5" s="1"/>
  <c r="N6" i="6" s="1"/>
  <c r="C6" i="5"/>
  <c r="D6" i="5"/>
  <c r="D13" i="5" s="1"/>
  <c r="D6" i="6" s="1"/>
  <c r="E16" i="2"/>
  <c r="E6" i="5"/>
  <c r="E13" i="5" s="1"/>
  <c r="E6" i="6" s="1"/>
  <c r="D17" i="3"/>
  <c r="G13" i="5"/>
  <c r="G6" i="6" s="1"/>
  <c r="E22" i="3"/>
  <c r="E6" i="9" s="1"/>
  <c r="H13" i="5"/>
  <c r="H6" i="6" s="1"/>
  <c r="M14" i="3"/>
  <c r="F6" i="5"/>
  <c r="F13" i="5" s="1"/>
  <c r="F6" i="6" s="1"/>
  <c r="J6" i="5"/>
  <c r="J13" i="5" s="1"/>
  <c r="J6" i="6" s="1"/>
  <c r="G14" i="3"/>
  <c r="D22" i="3"/>
  <c r="D6" i="9" s="1"/>
  <c r="K6" i="5"/>
  <c r="K13" i="5" s="1"/>
  <c r="K6" i="6" s="1"/>
  <c r="N14" i="3"/>
  <c r="C17" i="3"/>
  <c r="C14" i="3"/>
  <c r="C15" i="3" s="1"/>
  <c r="D15" i="3" s="1"/>
  <c r="E15" i="3" s="1"/>
  <c r="F15" i="3" s="1"/>
  <c r="C22" i="3"/>
  <c r="E17" i="3"/>
  <c r="L16" i="2"/>
  <c r="L6" i="5"/>
  <c r="L13" i="5" s="1"/>
  <c r="L6" i="6" s="1"/>
  <c r="O8" i="5"/>
  <c r="O10" i="5"/>
  <c r="O9" i="5"/>
  <c r="M6" i="5"/>
  <c r="M13" i="5" s="1"/>
  <c r="M6" i="6" s="1"/>
  <c r="M16" i="2"/>
  <c r="G16" i="2"/>
  <c r="K11" i="7"/>
  <c r="L7" i="7"/>
  <c r="L8" i="7" s="1"/>
  <c r="L10" i="7" s="1"/>
  <c r="N7" i="7"/>
  <c r="N8" i="7" s="1"/>
  <c r="N10" i="7" s="1"/>
  <c r="D7" i="7"/>
  <c r="D8" i="7" s="1"/>
  <c r="D10" i="7" s="1"/>
  <c r="C19" i="2"/>
  <c r="D15" i="2"/>
  <c r="D16" i="2" s="1"/>
  <c r="M13" i="3"/>
  <c r="C11" i="5"/>
  <c r="O11" i="5" s="1"/>
  <c r="C7" i="9" s="1"/>
  <c r="F7" i="7"/>
  <c r="F8" i="7" s="1"/>
  <c r="F10" i="7" s="1"/>
  <c r="M11" i="7"/>
  <c r="C7" i="7"/>
  <c r="C8" i="7" s="1"/>
  <c r="N15" i="2"/>
  <c r="N16" i="2" s="1"/>
  <c r="K13" i="3"/>
  <c r="K14" i="3" s="1"/>
  <c r="C15" i="2"/>
  <c r="C16" i="2" s="1"/>
  <c r="C17" i="2" s="1"/>
  <c r="N13" i="3"/>
  <c r="G7" i="7"/>
  <c r="G8" i="7" s="1"/>
  <c r="G10" i="7" s="1"/>
  <c r="L13" i="3"/>
  <c r="L14" i="3" s="1"/>
  <c r="E7" i="7"/>
  <c r="E8" i="7" s="1"/>
  <c r="E10" i="7" s="1"/>
  <c r="E15" i="2"/>
  <c r="F15" i="2"/>
  <c r="F16" i="2" s="1"/>
  <c r="H7" i="7"/>
  <c r="H8" i="7" s="1"/>
  <c r="H10" i="7" s="1"/>
  <c r="C21" i="2" l="1"/>
  <c r="D17" i="2"/>
  <c r="E17" i="2" s="1"/>
  <c r="F17" i="2" s="1"/>
  <c r="G17" i="2" s="1"/>
  <c r="H17" i="2" s="1"/>
  <c r="I17" i="2" s="1"/>
  <c r="J17" i="2" s="1"/>
  <c r="K17" i="2" s="1"/>
  <c r="L17" i="2" s="1"/>
  <c r="M17" i="2" s="1"/>
  <c r="N17" i="2" s="1"/>
  <c r="C20" i="2" s="1"/>
  <c r="C13" i="7"/>
  <c r="C10" i="7"/>
  <c r="C14" i="7" s="1"/>
  <c r="D9" i="9"/>
  <c r="D8" i="9"/>
  <c r="C13" i="5"/>
  <c r="O6" i="5"/>
  <c r="E8" i="9"/>
  <c r="E9" i="9"/>
  <c r="G15" i="3"/>
  <c r="H15" i="3" s="1"/>
  <c r="I15" i="3" s="1"/>
  <c r="J15" i="3" s="1"/>
  <c r="K15" i="3" s="1"/>
  <c r="L15" i="3" s="1"/>
  <c r="M15" i="3" s="1"/>
  <c r="N15" i="3" s="1"/>
  <c r="O13" i="5" l="1"/>
  <c r="C6" i="6"/>
  <c r="C7" i="6" s="1"/>
  <c r="O16" i="5"/>
  <c r="C11" i="11"/>
  <c r="C6" i="9"/>
  <c r="D11" i="9"/>
  <c r="D10" i="9"/>
  <c r="E11" i="9"/>
  <c r="E10" i="9"/>
  <c r="E12" i="9" s="1"/>
  <c r="D12" i="9"/>
  <c r="C15" i="11" l="1"/>
  <c r="D11" i="11"/>
  <c r="D15" i="11" s="1"/>
  <c r="C9" i="9"/>
  <c r="C8" i="9"/>
  <c r="C26" i="10"/>
  <c r="D7" i="6"/>
  <c r="C12" i="11"/>
  <c r="O18" i="5"/>
  <c r="C20" i="10" s="1"/>
  <c r="C21" i="10" s="1"/>
  <c r="O17" i="5"/>
  <c r="C15" i="10" s="1"/>
  <c r="C16" i="10" s="1"/>
  <c r="E7" i="6" l="1"/>
  <c r="C23" i="10"/>
  <c r="C16" i="11"/>
  <c r="D12" i="11"/>
  <c r="C13" i="11"/>
  <c r="C14" i="11" s="1"/>
  <c r="O19" i="5"/>
  <c r="C10" i="9"/>
  <c r="C11" i="9" s="1"/>
  <c r="C12" i="9"/>
  <c r="D16" i="11" l="1"/>
  <c r="D13" i="11"/>
  <c r="D14" i="11" s="1"/>
  <c r="K9" i="6"/>
  <c r="H9" i="6"/>
  <c r="J9" i="6"/>
  <c r="G9" i="6"/>
  <c r="F9" i="6"/>
  <c r="E9" i="6"/>
  <c r="E10" i="6" s="1"/>
  <c r="N9" i="6"/>
  <c r="I9" i="6"/>
  <c r="D9" i="6"/>
  <c r="D10" i="6" s="1"/>
  <c r="C9" i="6"/>
  <c r="C10" i="6" s="1"/>
  <c r="M9" i="6"/>
  <c r="L9" i="6"/>
  <c r="F7" i="6"/>
  <c r="G7" i="6" l="1"/>
  <c r="F10" i="6"/>
  <c r="H7" i="6" l="1"/>
  <c r="G10" i="6"/>
  <c r="I7" i="6" l="1"/>
  <c r="H10" i="6"/>
  <c r="J7" i="6" l="1"/>
  <c r="I10" i="6"/>
  <c r="K7" i="6" l="1"/>
  <c r="J10" i="6"/>
  <c r="K10" i="6" l="1"/>
  <c r="L7" i="6"/>
  <c r="L10" i="6" l="1"/>
  <c r="M7" i="6"/>
  <c r="N7" i="6" l="1"/>
  <c r="M10" i="6"/>
  <c r="C9" i="10" l="1"/>
  <c r="C11" i="10" s="1"/>
  <c r="C24" i="10" s="1"/>
  <c r="C12" i="6"/>
  <c r="N10" i="6"/>
  <c r="C13" i="6" l="1"/>
  <c r="C14" i="6"/>
</calcChain>
</file>

<file path=xl/sharedStrings.xml><?xml version="1.0" encoding="utf-8"?>
<sst xmlns="http://schemas.openxmlformats.org/spreadsheetml/2006/main" count="273" uniqueCount="219">
  <si>
    <t>伴走事業 — 経営シミュレーション</t>
  </si>
  <si>
    <t>前提（青い数字を打ち替えると、全シートが自動で再計算されます）</t>
  </si>
  <si>
    <t>① 滑走路とコスト</t>
  </si>
  <si>
    <t>初期キャッシュ（滑走路）</t>
  </si>
  <si>
    <t>海外資金の引き出し。月50万×4ヶ月分</t>
  </si>
  <si>
    <t>会社の月次固定費（損益分岐）</t>
  </si>
  <si>
    <t>役員報酬+社保+販管費の自動計算。これを総売上が超えれば会社は黒字</t>
  </si>
  <si>
    <t>既存受託（月・当面継続）</t>
  </si>
  <si>
    <t>立ち上げ期の土台。新事業が育つまでの足場</t>
  </si>
  <si>
    <t>② 商品単価</t>
  </si>
  <si>
    <t>構造診断・立ち上げ価格</t>
  </si>
  <si>
    <t>先着5社の実績協力価格（通常30万）</t>
  </si>
  <si>
    <t>構造診断・通常価格</t>
  </si>
  <si>
    <t>竹（標準）。松は50万〜</t>
  </si>
  <si>
    <t>濃い伴走（月額・1社）</t>
  </si>
  <si>
    <t>週2日相当。シナリオA</t>
  </si>
  <si>
    <t>ライト契約（月額・1社）</t>
  </si>
  <si>
    <t>自走後の継続。相談・保守ベース</t>
  </si>
  <si>
    <t>③ 上限（品質を守る方針）</t>
  </si>
  <si>
    <t>濃い伴走の同時上限（社）</t>
  </si>
  <si>
    <t>3社を超えると文脈維持の工数が品質を割る</t>
  </si>
  <si>
    <t>④ 会計レベル前提（費用・税）</t>
  </si>
  <si>
    <t>役員報酬（月）</t>
  </si>
  <si>
    <t>立ち上げ年は7万で低く固定（定期同額のため期中変更は不可→Y2で増額）。生活は貯蓄で橋渡し</t>
  </si>
  <si>
    <t>会社負担 社会保険（月）</t>
  </si>
  <si>
    <t>役員報酬7万の最低等級 概算</t>
  </si>
  <si>
    <t>販管費（月）</t>
  </si>
  <si>
    <t>税理士・SaaS・通信・交通・交際・学習・広告の合算</t>
  </si>
  <si>
    <t>消費税 みなし仕入率（簡易課税）</t>
  </si>
  <si>
    <t>サービス業=第5種50%。納税=売上消費税×(1-この率)</t>
  </si>
  <si>
    <t>消費税率</t>
  </si>
  <si>
    <t>法人実効税率（概算）</t>
  </si>
  <si>
    <t>所得800万以下の中小法人 概算</t>
  </si>
  <si>
    <t>法人住民税 均等割（年・赤字でも発生）</t>
  </si>
  <si>
    <t>最低限かかる固定税</t>
  </si>
  <si>
    <t>⑤ 営業ファネル（登壇・自前コンテンツで新規診断を生む）</t>
  </si>
  <si>
    <t>1登壇あたり参加者（人）</t>
  </si>
  <si>
    <t>小規模セミナー/勉強会の集客想定。最初の1〜2回はここが一番難所（要・自前集客）</t>
  </si>
  <si>
    <t>参加者→無料相談 化率</t>
  </si>
  <si>
    <t>登壇を聞いた人が個別相談に来る率。温度が高い10〜20%</t>
  </si>
  <si>
    <t>無料相談→診断 成約率</t>
  </si>
  <si>
    <t>登壇経由は信頼が乗り30万診断に進みやすい(コールドの28%より高い)</t>
  </si>
  <si>
    <t>診断→伴走 移行率</t>
  </si>
  <si>
    <t>断る関門として意図的に絞る。据え置き</t>
  </si>
  <si>
    <t>1登壇の所要時間（h/回・定常）</t>
  </si>
  <si>
    <t>資料作成は流用前提。初回のみ別途+約20hの先行投資(ストック資産化＝L-3/L-4)</t>
  </si>
  <si>
    <t>⑥ 個人サバイバル（会社とは別の財布）</t>
  </si>
  <si>
    <t>個人の貯蓄（滑走路）</t>
  </si>
  <si>
    <t>海外資金。会社でなく“あなた個人”の生活を支える</t>
  </si>
  <si>
    <t>個人の生活費（月）</t>
  </si>
  <si>
    <t>家賃・生活・税社保等の個人支出</t>
  </si>
  <si>
    <t>Year 1 — 月次キャッシュ推移</t>
  </si>
  <si>
    <t>新事業の「数量」だけ青で打ち替えてください（診断件数・伴走社数・ライト社数）。売上と残高は自動計算。</t>
  </si>
  <si>
    <t>項目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</si>
  <si>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</si>
  <si>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</si>
  <si>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</si>
  <si>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</si>
  <si>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</si>
  <si>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</si>
  <si>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</si>
  <si>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</si>
  <si>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</si>
  <si>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</si>
  <si>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</si>
  <si>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</si>
  <si>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診断・件数（立ち上げ価格）</t>
  </si>
  <si>
    <t>診断・件数（通常価格）</t>
  </si>
  <si>
    <t>濃い伴走・稼働社数</t>
  </si>
  <si>
    <t>ライト契約・社数</t>
  </si>
  <si>
    <t>新事業 売上</t>
  </si>
  <si>
    <t>既存受託</t>
  </si>
  <si>
    <t>総売上</t>
  </si>
  <si>
    <t>損益分岐点</t>
  </si>
  <si>
    <t>単月収支（±）</t>
  </si>
  <si>
    <t>キャッシュ残高</t>
  </si>
  <si>
    <t>年間 新事業売上 合計</t>
  </si>
  <si>
    <t>年末キャッシュ残高</t>
  </si>
  <si>
    <t>初年度の最低残高（滑走路の底）</t>
  </si>
  <si>
    <t>← ここがマイナスにならなければ、負の連鎖で死ぬことはない</t>
  </si>
  <si>
    <t>3年計画 — 四半期ショートスパン</t>
  </si>
  <si>
    <t>見るのは4つだけ：診断数・伴走社数・ライト社数・キャッシュ残高。指標を増やさないのが一人会社のコツ。</t>
  </si>
  <si>
    <t>Y1Q1</t>
  </si>
  <si>
    <t>Y1Q2</t>
  </si>
  <si>
    <t>Y1Q3</t>
  </si>
  <si>
    <t>Y1Q4</t>
  </si>
  <si>
    <t>Y2Q1</t>
  </si>
  <si>
    <t>Y2Q2</t>
  </si>
  <si>
    <t>Y2Q3</t>
  </si>
  <si>
    <t>Y2Q4</t>
  </si>
  <si>
    <t>Y3Q1</t>
  </si>
  <si>
    <t>Y3Q2</t>
  </si>
  <si>
    <t>Y3Q3</t>
  </si>
  <si>
    <t>Y3Q4</t>
  </si>
  <si>
    <t>診断・件数 / 四半期</t>
  </si>
  <si>
    <t>濃い伴走・社数（平均）</t>
  </si>
  <si>
    <t>ライト・社数</t>
  </si>
  <si>
    <t>新事業 売上 / Q</t>
  </si>
  <si>
    <t>既存受託 / Q</t>
  </si>
  <si>
    <t>総売上 / Q</t>
  </si>
  <si>
    <t>損益分岐 / Q</t>
  </si>
  <si>
    <t>四半期 収支（±）</t>
  </si>
  <si>
    <t>四半期末 キャッシュ残高</t>
  </si>
  <si>
    <t>年間総売上</t>
  </si>
  <si>
    <t>（C列=Year1, D列=Year2, E列=Year3 の合計）</t>
  </si>
  <si>
    <t>年間総売上（C=Y1 / D=Y2 / E=Y3）</t>
  </si>
  <si>
    <t>このモデルの読み方</t>
  </si>
  <si>
    <t>■ 何を打ち替えればいいか</t>
  </si>
  <si>
    <t>　・黄色いセル（青字）だけを変えてください。黒字は自動計算なので触らない。</t>
  </si>
  <si>
    <t>　・「前提」シートで単価・分岐点・滑走路を変えると、全シートに反映されます。</t>
  </si>
  <si>
    <t>　・「Year1_月次」「3年_四半期」では、各月/各Qの "数量"（診断件数・伴走社数・ライト社数）を変えます。</t>
  </si>
  <si>
    <t>■ どこを見れば「死なない」と分かるか</t>
  </si>
  <si>
    <t>　・Year1_月次シートの「初年度の最低残高（滑走路の底）」。ここがプラスなら、負の連鎖で資金が尽きることはありません。</t>
  </si>
  <si>
    <t>　・現在の慎重シナリオでは、底は初月の約190万円。初期200万からほぼ減らずに立ち上がります。</t>
  </si>
  <si>
    <t>■ この事業の構造的な強み（数字が示すこと）</t>
  </si>
  <si>
    <t>　・損益分岐 月50万に対し、既存受託が月40万。埋めるべき差は月10万だけ。</t>
  </si>
  <si>
    <t>　・診断1社（10万）でその月は分岐点に到達。伴走1社（月75万）に上がれば即黒字。ハードルは低い。</t>
  </si>
  <si>
    <t>　・濃い伴走は上限3社（品質方針）。3社目以降は売上でなく、資産化・ライト層・1対Nで伸ばす設計。</t>
  </si>
  <si>
    <t>■ 注意（このモデルが扱っていないリスク）</t>
  </si>
  <si>
    <t>　・代替不能性：あなたが倒れると伴走が止まる。だから現金の厚みと協力者の関係維持が保険になる。</t>
  </si>
  <si>
    <t>　・協力者（コーダー1・デザイナー1）は副業の隙間稼働。戦力でなく薄い保険として扱い、稼働を前提に商品を組まない。</t>
  </si>
  <si>
    <t>　・売上の上振れより、滑走路を守る判断を優先。筋の通らない案件を承認欲で取らない（判断基準に戻る）。</t>
  </si>
  <si>
    <t>Year1 月次 損益計算書（P/L）</t>
  </si>
  <si>
    <t>売上は「Year1_月次」から自動リンク（緑字）。費用は「前提」から。消費税は預かりのため売上から除外＝税抜ベース。</t>
  </si>
  <si>
    <t>年計</t>
  </si>
  <si>
    <t>売上高（税抜）</t>
  </si>
  <si>
    <t>役員報酬</t>
  </si>
  <si>
    <t>法定福利費（社保・会社）</t>
  </si>
  <si>
    <t>販管費</t>
  </si>
  <si>
    <t>費用 合計</t>
  </si>
  <si>
    <t>営業利益（税引前）</t>
  </si>
  <si>
    <t>【年次の税金（翌期納付＝現金の引当が必要）】</t>
  </si>
  <si>
    <t>消費税（簡易課税）</t>
  </si>
  <si>
    <t>売上消費税×(1−みなし50%)</t>
  </si>
  <si>
    <t>法人税等</t>
  </si>
  <si>
    <t>利益×実効税率 と 均等割 の大きい方</t>
  </si>
  <si>
    <t>税引後利益</t>
  </si>
  <si>
    <t>★引当てる税金合計（別口座へ）</t>
  </si>
  <si>
    <t>この現金は「使ってはいけない」</t>
  </si>
  <si>
    <t>Year1 月次 キャッシュフロー（税金引当込み）</t>
  </si>
  <si>
    <t>「手元現金」と「税金を避けた後の“本当に使える現金”」を分けて表示。納付月の事故を防ぐ。</t>
  </si>
  <si>
    <t>営業利益（月次）</t>
  </si>
  <si>
    <t>手元現金 残高</t>
  </si>
  <si>
    <t>累計 税金引当（避ける額）</t>
  </si>
  <si>
    <t>★本当に使える現金</t>
  </si>
  <si>
    <t>年末 手元現金</t>
  </si>
  <si>
    <t>年末 本当に使える現金（税引当後）</t>
  </si>
  <si>
    <t>本当に使える現金の最低値（底）</t>
  </si>
  <si>
    <t>← ここがプラスなら、税金を避けても資金は尽きない</t>
  </si>
  <si>
    <t>Year1 営業ファネル — 登壇・自前コンテンツ版（受注に必要な活動量）</t>
  </si>
  <si>
    <t>「診断を何件取る」の裏で、毎月何回 登壇/発信が要るかを逆算。営業時間が週1日に収まるかを検証。</t>
  </si>
  <si>
    <t>新規診断 目標（件）</t>
  </si>
  <si>
    <t>必要 無料相談（件）</t>
  </si>
  <si>
    <t>必要 登壇回数（回）</t>
  </si>
  <si>
    <t>営業 所要時間（h/月）</t>
  </si>
  <si>
    <t>（参考）想定 伴走新規（社）</t>
  </si>
  <si>
    <t>年間 必要アプローチ 合計</t>
  </si>
  <si>
    <t>月平均 営業時間</t>
  </si>
  <si>
    <t>← これが週の使える営業時間に収まるかを見る（目安：週1日＝月約32h）</t>
  </si>
  <si>
    <t>（注）1登壇 ≒ 参加者×相談化率×成約率 の診断を生む。初回登壇は資料作成+集客で別途約20hの先行投資。</t>
  </si>
  <si>
    <t>個人サバイバル — 会社とは別の“あなたの財布”</t>
  </si>
  <si>
    <t>役員報酬7万では生活費に届かない。差額を貯蓄で何ヶ月もたせられるか。これが本当の滑走路。</t>
  </si>
  <si>
    <t>役員報酬（手取り≒額面）</t>
  </si>
  <si>
    <t>概算。実際は所得税・社保で少し減る</t>
  </si>
  <si>
    <t>月の不足額（生活費−報酬）</t>
  </si>
  <si>
    <t>貯蓄から毎月出ていく額</t>
  </si>
  <si>
    <t>個人サバイバル月数</t>
  </si>
  <si>
    <t>貯蓄が尽きるまでの月数</t>
  </si>
  <si>
    <t>【意味】</t>
  </si>
  <si>
    <t>・役員報酬を7万に下げると、会社の損益分岐は約18万に激減。既存受託40万だけで会社は黒字。</t>
  </si>
  <si>
    <t>・つまり会社はすぐ黒字化し、貯蓄200万は会社の延命には使わない。</t>
  </si>
  <si>
    <t>・本当の制約は「あなた個人」。生活費50万−報酬7万＝月43万を、貯蓄200万で約4.6ヶ月もたせる勝負。</t>
  </si>
  <si>
    <t>・新規売上が立って会社に利益が貯まったら、Y2で役員報酬を上げて貯蓄の取り崩しを止める。</t>
  </si>
  <si>
    <t>・注意：報酬を極端に下げると会社利益が増え法人税も増える。立ち上げ期の“現金温存”としては正しいが、</t>
  </si>
  <si>
    <t>　軌道に乗ったら「法人税＋所得税＋社保」の合計が最小になる報酬額に最適化する。</t>
  </si>
  <si>
    <t>3年 損益計算書（年次・会計レベル）</t>
  </si>
  <si>
    <t>Y1=PL_損益_Y1（月次積上）／Y2・Y3=3年_四半期 の計画数量から自動リンク。役員報酬は7万据置（→Y2最適化は別タスク）。</t>
  </si>
  <si>
    <t>Year1</t>
  </si>
  <si>
    <t>Year2</t>
  </si>
  <si>
    <t>Year3</t>
  </si>
  <si>
    <t>費用合計（役員報酬+社保+販管）</t>
  </si>
  <si>
    <t>★引当てる税金合計（消費税+法人税・別口座）</t>
  </si>
  <si>
    <t>注：Y2/Y3は役員報酬7万据置のため営業利益が過大→法人税も過大。Y2で役員報酬を上げると法人税は大きく下がる（役員報酬最適化タスク）。</t>
  </si>
  <si>
    <t>Year1末 貸借対照表（B/S・簡易）</t>
  </si>
  <si>
    <t>現金=CF_現金_Y1末／繰越利益剰余金=PL税引後利益。黄色＝仮の入力（要・実態確認）。差額チェックが0なら貸借一致。</t>
  </si>
  <si>
    <t>【仮の前提（黄色）】</t>
  </si>
  <si>
    <t>資本金（登記値・仮）</t>
  </si>
  <si>
    <t>滑走路200万の内、出資した額。残りは役員借入とみなす</t>
  </si>
  <si>
    <t>【資産の部】</t>
  </si>
  <si>
    <t>現金預金</t>
  </si>
  <si>
    <t>売掛金</t>
  </si>
  <si>
    <t>当月入金前提＝0。翌月入金なら12月売上の1ヶ月分を入れる</t>
  </si>
  <si>
    <t>資産合計</t>
  </si>
  <si>
    <t>【負債の部】</t>
  </si>
  <si>
    <t>役員借入金</t>
  </si>
  <si>
    <t>滑走路200万−資本金。海外資金が出資なら0に</t>
  </si>
  <si>
    <t>未払法人税等（翌期納付）</t>
  </si>
  <si>
    <t>負債合計</t>
  </si>
  <si>
    <t>【純資産の部】</t>
  </si>
  <si>
    <t>資本金</t>
  </si>
  <si>
    <t>繰越利益剰余金（当期税引後利益）</t>
  </si>
  <si>
    <t>純資産合計</t>
  </si>
  <si>
    <t>負債・純資産合計</t>
  </si>
  <si>
    <t>差額チェック（資産−負債純資産）</t>
  </si>
  <si>
    <t>← 0 なら貸借一致</t>
  </si>
  <si>
    <t>【メモ】翌期納付の消費税（避ける現金・税抜現金モデルのため負債計上せず別管理）</t>
  </si>
  <si>
    <t>※簡易B/S：売上を税抜現金で計上する既存モデルに合わせ、消費税はメモ管理。厳密な税込キャッシュ化／Y2・Y3末ロールBSは次の拡張で。</t>
  </si>
  <si>
    <t>感度分析：濃い伴走 月75万 vs 50万（Year1）</t>
  </si>
  <si>
    <t>伴走の月額単価だけを変えたときの、総売上・利益・税・年末現金の差。黄色＝低単価の入力。</t>
  </si>
  <si>
    <t>伴走 標準単価（前提!C13）</t>
  </si>
  <si>
    <t>伴走 低単価（感度・黄色）</t>
  </si>
  <si>
    <t>伴走の社月合計（Year1）</t>
  </si>
  <si>
    <t>稼働社数×月の合計</t>
  </si>
  <si>
    <t>売上差（低−標準）</t>
  </si>
  <si>
    <t>標準（75万）</t>
  </si>
  <si>
    <t>低（50万）</t>
  </si>
  <si>
    <t>消費税（簡易）</t>
  </si>
  <si>
    <t>年末現金（手元）</t>
  </si>
  <si>
    <t>読み：50万に下げると年末現金が約300万薄くなる。介護の薄利には50万が現実的だが、補助金で自己負担が下がるなら75万維持も可（subsidy-research参照）。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</si>
</sst>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,##0&quot;円&quot;;\(#,##0&quot;円)&quot;;\-"/>
    <numFmt numFmtId="177" formatCode="0&quot;社&quot;"/>
    <numFmt numFmtId="178" formatCode="0.0%"/>
    <numFmt numFmtId="179" formatCode="0&quot;分&quot;"/>
    <numFmt numFmtId="180" formatCode="0;\-;\-"/>
    <numFmt numFmtId="181" formatCode="#,##0;\(#,##0\);\-"/>
    <numFmt numFmtId="182" formatCode="0.0;\-;\-"/>
    <numFmt numFmtId="183" formatCode="0.0"/>
    <numFmt numFmtId="184" formatCode="0.0\h"/>
    <numFmt numFmtId="185" formatCode="0.0&quot;ヶ月&quot;"/>
  </numFmts>
  <fonts count="26">
    <font>
      <sz val="11"/>
      <color theme="1"/>
      <name val="Calibri"/>
      <family val="2"/>
      <charset val="1"/>
    </font>
    <font>
      <b/>
      <sz val="14"/>
      <color rgb="FF1D2A2E"/>
      <name val="Noto Sans CJK SC"/>
      <family val="2"/>
      <charset val="1"/>
    </font>
    <font>
      <i/>
      <sz val="9"/>
      <color rgb="FF54656B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color rgb="FF54656B"/>
      <name val="Arial"/>
      <family val="2"/>
    </font>
    <font>
      <i/>
      <sz val="9"/>
      <color rgb="FF54656B"/>
      <name val="Noto Sans CJK SC"/>
      <family val="2"/>
    </font>
    <font>
      <b/>
      <sz val="10"/>
      <color rgb="FFFFFFFF"/>
      <name val="Noto Sans CJK SC"/>
      <family val="2"/>
    </font>
    <font>
      <sz val="10"/>
      <color rgb="FF000000"/>
      <name val="Noto Sans CJK SC"/>
      <family val="2"/>
    </font>
    <font>
      <b/>
      <sz val="14"/>
      <color rgb="FF1D2A2E"/>
      <name val="Arial"/>
      <family val="2"/>
    </font>
    <font>
      <b/>
      <sz val="14"/>
      <color rgb="FF1D2A2E"/>
      <name val="Noto Sans CJK SC"/>
      <family val="2"/>
    </font>
    <font>
      <b/>
      <sz val="10"/>
      <color rgb="FFFFFFFF"/>
      <name val="Arial"/>
      <family val="2"/>
    </font>
    <font>
      <b/>
      <sz val="10"/>
      <name val="Noto Sans CJK SC"/>
      <family val="2"/>
      <charset val="1"/>
    </font>
    <font>
      <b/>
      <sz val="10"/>
      <name val="Arial"/>
      <family val="2"/>
    </font>
    <font>
      <sz val="10"/>
      <color rgb="FF008000"/>
      <name val="Arial"/>
      <family val="2"/>
    </font>
    <font>
      <b/>
      <sz val="10"/>
      <color rgb="FFC2452D"/>
      <name val="Arial"/>
      <family val="2"/>
    </font>
    <font>
      <sz val="10"/>
      <color rgb="FF1D2A2E"/>
      <name val="Arial"/>
      <family val="2"/>
    </font>
    <font>
      <sz val="10"/>
      <color rgb="FF1D2A2E"/>
      <name val="Noto Sans CJK SC"/>
      <family val="2"/>
      <charset val="1"/>
    </font>
    <font>
      <b/>
      <sz val="10"/>
      <color rgb="FFC2452D"/>
      <name val="Noto Sans CJK SC"/>
      <family val="2"/>
      <charset val="1"/>
    </font>
    <font>
      <b/>
      <sz val="10"/>
      <name val="Noto Sans CJK SC"/>
      <family val="2"/>
    </font>
    <font>
      <sz val="10"/>
      <color rgb="FF1D2A2E"/>
      <name val="Noto Sans CJK SC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27559B"/>
        <bgColor rgb="FF0066CC"/>
      </patternFill>
    </fill>
    <fill>
      <patternFill patternType="solid">
        <fgColor rgb="FFFFF6CC"/>
        <bgColor rgb="FFF2F4F3"/>
      </patternFill>
    </fill>
    <fill>
      <patternFill patternType="solid">
        <fgColor rgb="FFFFFFFF"/>
        <bgColor rgb="FFF2F4F3"/>
      </patternFill>
    </fill>
    <fill>
      <patternFill patternType="solid">
        <fgColor rgb="FFF2F4F3"/>
        <bgColor rgb="FFE6EDF7"/>
      </patternFill>
    </fill>
    <fill>
      <patternFill patternType="solid">
        <fgColor rgb="FFE6EDF7"/>
        <bgColor rgb="FFF2F4F3"/>
      </patternFill>
    </fill>
    <fill>
      <patternFill patternType="solid">
        <fgColor rgb="FFF7E3DE"/>
        <bgColor rgb="FFE6ED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9C5C4"/>
      </left>
      <right style="thin">
        <color rgb="FFB9C5C4"/>
      </right>
      <top style="thin">
        <color rgb="FFB9C5C4"/>
      </top>
      <bottom style="thin">
        <color rgb="FFB9C5C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horizontal="left" vertical="center" wrapText="1"/>
    </xf>
    <xf numFmtId="176" fontId="5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176" fontId="6" fillId="4" borderId="1" xfId="0" applyNumberFormat="1" applyFont="1" applyFill="1" applyBorder="1" applyAlignment="1">
      <alignment horizontal="right" vertical="center"/>
    </xf>
    <xf numFmtId="177" fontId="5" fillId="3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178" fontId="5" fillId="3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/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79" fontId="5" fillId="3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1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180" fontId="5" fillId="3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 wrapText="1"/>
    </xf>
    <xf numFmtId="181" fontId="15" fillId="0" borderId="1" xfId="0" applyNumberFormat="1" applyFont="1" applyBorder="1" applyAlignment="1">
      <alignment horizontal="right" vertical="center"/>
    </xf>
    <xf numFmtId="181" fontId="16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4" fillId="0" borderId="0" xfId="0" applyFont="1"/>
    <xf numFmtId="176" fontId="15" fillId="6" borderId="0" xfId="0" applyNumberFormat="1" applyFont="1" applyFill="1"/>
    <xf numFmtId="176" fontId="15" fillId="7" borderId="0" xfId="0" applyNumberFormat="1" applyFont="1" applyFill="1"/>
    <xf numFmtId="176" fontId="17" fillId="7" borderId="0" xfId="0" applyNumberFormat="1" applyFont="1" applyFill="1"/>
    <xf numFmtId="182" fontId="5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/>
    <xf numFmtId="176" fontId="15" fillId="6" borderId="1" xfId="0" applyNumberFormat="1" applyFont="1" applyFill="1" applyBorder="1" applyAlignment="1">
      <alignment horizontal="right" vertical="center"/>
    </xf>
    <xf numFmtId="176" fontId="15" fillId="6" borderId="1" xfId="0" applyNumberFormat="1" applyFont="1" applyFill="1" applyBorder="1" applyAlignment="1">
      <alignment horizontal="right"/>
    </xf>
    <xf numFmtId="0" fontId="18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176" fontId="15" fillId="0" borderId="1" xfId="0" applyNumberFormat="1" applyFont="1" applyBorder="1" applyAlignment="1">
      <alignment horizontal="right" vertical="center"/>
    </xf>
    <xf numFmtId="0" fontId="14" fillId="5" borderId="1" xfId="0" applyFont="1" applyFill="1" applyBorder="1" applyAlignment="1">
      <alignment horizontal="left" vertical="center" wrapText="1"/>
    </xf>
    <xf numFmtId="176" fontId="15" fillId="7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176" fontId="15" fillId="5" borderId="1" xfId="0" applyNumberFormat="1" applyFont="1" applyFill="1" applyBorder="1" applyAlignment="1">
      <alignment horizontal="right" vertical="center"/>
    </xf>
    <xf numFmtId="176" fontId="17" fillId="7" borderId="1" xfId="0" applyNumberFormat="1" applyFont="1" applyFill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20" fillId="7" borderId="1" xfId="0" applyFont="1" applyFill="1" applyBorder="1" applyAlignment="1">
      <alignment horizontal="left" vertical="center" wrapText="1"/>
    </xf>
    <xf numFmtId="181" fontId="17" fillId="0" borderId="1" xfId="0" applyNumberFormat="1" applyFont="1" applyBorder="1" applyAlignment="1">
      <alignment horizontal="right" vertical="center"/>
    </xf>
    <xf numFmtId="176" fontId="15" fillId="5" borderId="0" xfId="0" applyNumberFormat="1" applyFont="1" applyFill="1"/>
    <xf numFmtId="0" fontId="8" fillId="0" borderId="0" xfId="0" applyFont="1"/>
    <xf numFmtId="0" fontId="21" fillId="6" borderId="1" xfId="0" applyFont="1" applyFill="1" applyBorder="1" applyAlignment="1">
      <alignment horizontal="left" vertical="center" wrapText="1"/>
    </xf>
    <xf numFmtId="1" fontId="16" fillId="0" borderId="1" xfId="0" applyNumberFormat="1" applyFont="1" applyBorder="1" applyAlignment="1">
      <alignment horizontal="right" vertical="center"/>
    </xf>
    <xf numFmtId="183" fontId="6" fillId="0" borderId="1" xfId="0" applyNumberFormat="1" applyFont="1" applyBorder="1" applyAlignment="1">
      <alignment horizontal="right" vertical="center"/>
    </xf>
    <xf numFmtId="0" fontId="21" fillId="7" borderId="1" xfId="0" applyFont="1" applyFill="1" applyBorder="1" applyAlignment="1">
      <alignment horizontal="left" vertical="center" wrapText="1"/>
    </xf>
    <xf numFmtId="183" fontId="15" fillId="0" borderId="1" xfId="0" applyNumberFormat="1" applyFont="1" applyBorder="1" applyAlignment="1">
      <alignment horizontal="right" vertical="center"/>
    </xf>
    <xf numFmtId="0" fontId="21" fillId="5" borderId="1" xfId="0" applyFont="1" applyFill="1" applyBorder="1" applyAlignment="1">
      <alignment horizontal="left" vertical="center" wrapText="1"/>
    </xf>
    <xf numFmtId="0" fontId="21" fillId="0" borderId="0" xfId="0" applyFont="1"/>
    <xf numFmtId="1" fontId="15" fillId="7" borderId="0" xfId="0" applyNumberFormat="1" applyFont="1" applyFill="1"/>
    <xf numFmtId="184" fontId="15" fillId="5" borderId="0" xfId="0" applyNumberFormat="1" applyFont="1" applyFill="1"/>
    <xf numFmtId="0" fontId="12" fillId="0" borderId="0" xfId="0" applyFont="1"/>
    <xf numFmtId="176" fontId="1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185" fontId="17" fillId="7" borderId="1" xfId="0" applyNumberFormat="1" applyFont="1" applyFill="1" applyBorder="1" applyAlignment="1">
      <alignment horizontal="right" vertical="center"/>
    </xf>
    <xf numFmtId="0" fontId="22" fillId="0" borderId="0" xfId="0" applyFont="1" applyAlignment="1">
      <alignment horizontal="left" vertical="center" wrapText="1"/>
    </xf>
    <xf numFmtId="0" fontId="0" fillId="3" borderId="0" xfId="0" applyFill="1"/>
    <xf numFmtId="0" fontId="23" fillId="0" borderId="0" xfId="0" applyFont="1"/>
    <xf numFmtId="0" fontId="24" fillId="0" borderId="0" xfId="0" applyFont="1"/>
    <xf numFmtId="3" fontId="0" fillId="0" borderId="0" xfId="0" applyNumberFormat="1"/>
    <xf numFmtId="3" fontId="24" fillId="0" borderId="0" xfId="0" applyNumberFormat="1" applyFont="1"/>
    <xf numFmtId="3" fontId="0" fillId="8" borderId="0" xfId="0" applyNumberFormat="1" applyFill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5C4"/>
      <rgbColor rgb="FF808080"/>
      <rgbColor rgb="FF9999FF"/>
      <rgbColor rgb="FF993366"/>
      <rgbColor rgb="FFFFF6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3"/>
      <rgbColor rgb="FFCCFFCC"/>
      <rgbColor rgb="FFFFFF99"/>
      <rgbColor rgb="FF99CCFF"/>
      <rgbColor rgb="FFFF99CC"/>
      <rgbColor rgb="FFCC99FF"/>
      <rgbColor rgb="FFF7E3DE"/>
      <rgbColor rgb="FF3366FF"/>
      <rgbColor rgb="FF33CCCC"/>
      <rgbColor rgb="FF99CC00"/>
      <rgbColor rgb="FFFFCC00"/>
      <rgbColor rgb="FFFF9900"/>
      <rgbColor rgb="FFFF6600"/>
      <rgbColor rgb="FF54656B"/>
      <rgbColor rgb="FF969696"/>
      <rgbColor rgb="FF003366"/>
      <rgbColor rgb="FF339966"/>
      <rgbColor rgb="FF003300"/>
      <rgbColor rgb="FF333300"/>
      <rgbColor rgb="FFC2452D"/>
      <rgbColor rgb="FF993366"/>
      <rgbColor rgb="FF27559B"/>
      <rgbColor rgb="FF1D2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"/>
  <sheetViews>
    <sheetView showGridLines="0" zoomScaleNormal="100" workbookViewId="0"/>
  </sheetViews>
  <sheetFormatPr defaultColWidth="8.6328125" defaultRowHeight="14.5"/>
  <cols>
    <col min="1" max="1" width="3" customWidth="1"/>
    <col min="2" max="2" width="34" customWidth="1"/>
    <col min="3" max="3" width="16" customWidth="1"/>
    <col min="4" max="4" width="44" customWidth="1"/>
  </cols>
  <sheetData>
    <row r="2" spans="2:4" ht="21.75" customHeight="1">
      <c r="B2" s="1" t="s">
        <v>0</v>
      </c>
    </row>
    <row r="3" spans="2:4" ht="15" customHeight="1">
      <c r="B3" s="2" t="s">
        <v>1</v>
      </c>
    </row>
    <row r="5" spans="2:4" ht="15" customHeight="1">
      <c r="B5" s="3" t="s">
        <v>2</v>
      </c>
      <c r="C5" s="3"/>
      <c r="D5" s="3"/>
    </row>
    <row r="6" spans="2:4" ht="15" customHeight="1">
      <c r="B6" s="4" t="s">
        <v>3</v>
      </c>
      <c r="C6" s="5">
        <v>2000000</v>
      </c>
      <c r="D6" s="6" t="s">
        <v>4</v>
      </c>
    </row>
    <row r="7" spans="2:4" ht="15" customHeight="1">
      <c r="B7" s="4" t="s">
        <v>5</v>
      </c>
      <c r="C7" s="7">
        <f>C20+C21+C22</f>
        <v>183500</v>
      </c>
      <c r="D7" s="6" t="s">
        <v>6</v>
      </c>
    </row>
    <row r="8" spans="2:4" ht="15" customHeight="1">
      <c r="B8" s="4" t="s">
        <v>7</v>
      </c>
      <c r="C8" s="5">
        <v>400000</v>
      </c>
      <c r="D8" s="6" t="s">
        <v>8</v>
      </c>
    </row>
    <row r="10" spans="2:4" ht="15" customHeight="1">
      <c r="B10" s="3" t="s">
        <v>9</v>
      </c>
      <c r="C10" s="3"/>
      <c r="D10" s="3"/>
    </row>
    <row r="11" spans="2:4" ht="15" customHeight="1">
      <c r="B11" s="4" t="s">
        <v>10</v>
      </c>
      <c r="C11" s="5">
        <v>100000</v>
      </c>
      <c r="D11" s="6" t="s">
        <v>11</v>
      </c>
    </row>
    <row r="12" spans="2:4" ht="15" customHeight="1">
      <c r="B12" s="4" t="s">
        <v>12</v>
      </c>
      <c r="C12" s="5">
        <v>300000</v>
      </c>
      <c r="D12" s="6" t="s">
        <v>13</v>
      </c>
    </row>
    <row r="13" spans="2:4" ht="15" customHeight="1">
      <c r="B13" s="4" t="s">
        <v>14</v>
      </c>
      <c r="C13" s="5">
        <v>750000</v>
      </c>
      <c r="D13" s="6" t="s">
        <v>15</v>
      </c>
    </row>
    <row r="14" spans="2:4" ht="15" customHeight="1">
      <c r="B14" s="4" t="s">
        <v>16</v>
      </c>
      <c r="C14" s="5">
        <v>70000</v>
      </c>
      <c r="D14" s="6" t="s">
        <v>17</v>
      </c>
    </row>
    <row r="16" spans="2:4" ht="15" customHeight="1">
      <c r="B16" s="3" t="s">
        <v>18</v>
      </c>
      <c r="C16" s="3"/>
      <c r="D16" s="3"/>
    </row>
    <row r="17" spans="2:4" ht="15" customHeight="1">
      <c r="B17" s="4" t="s">
        <v>19</v>
      </c>
      <c r="C17" s="8">
        <v>3</v>
      </c>
      <c r="D17" s="9" t="s">
        <v>20</v>
      </c>
    </row>
    <row r="19" spans="2:4" ht="15" customHeight="1">
      <c r="B19" s="3" t="s">
        <v>21</v>
      </c>
      <c r="C19" s="3"/>
      <c r="D19" s="3"/>
    </row>
    <row r="20" spans="2:4" ht="15" customHeight="1">
      <c r="B20" s="4" t="s">
        <v>22</v>
      </c>
      <c r="C20" s="5">
        <v>70000</v>
      </c>
      <c r="D20" s="6" t="s">
        <v>23</v>
      </c>
    </row>
    <row r="21" spans="2:4" ht="15" customHeight="1">
      <c r="B21" s="4" t="s">
        <v>24</v>
      </c>
      <c r="C21" s="5">
        <v>11000</v>
      </c>
      <c r="D21" s="6" t="s">
        <v>25</v>
      </c>
    </row>
    <row r="22" spans="2:4" ht="15" customHeight="1">
      <c r="B22" s="4" t="s">
        <v>26</v>
      </c>
      <c r="C22" s="5">
        <v>102500</v>
      </c>
      <c r="D22" s="6" t="s">
        <v>27</v>
      </c>
    </row>
    <row r="23" spans="2:4" ht="15" customHeight="1">
      <c r="B23" s="4" t="s">
        <v>28</v>
      </c>
      <c r="C23" s="10">
        <v>0.5</v>
      </c>
      <c r="D23" s="6" t="s">
        <v>29</v>
      </c>
    </row>
    <row r="24" spans="2:4" ht="15" customHeight="1">
      <c r="B24" s="4" t="s">
        <v>30</v>
      </c>
      <c r="C24" s="10">
        <v>0.1</v>
      </c>
      <c r="D24" s="9"/>
    </row>
    <row r="25" spans="2:4" ht="15" customHeight="1">
      <c r="B25" s="4" t="s">
        <v>31</v>
      </c>
      <c r="C25" s="10">
        <v>0.25</v>
      </c>
      <c r="D25" s="6" t="s">
        <v>32</v>
      </c>
    </row>
    <row r="26" spans="2:4" ht="15" customHeight="1">
      <c r="B26" s="4" t="s">
        <v>33</v>
      </c>
      <c r="C26" s="5">
        <v>70000</v>
      </c>
      <c r="D26" s="6" t="s">
        <v>34</v>
      </c>
    </row>
    <row r="28" spans="2:4" ht="15" customHeight="1">
      <c r="B28" s="11" t="s">
        <v>35</v>
      </c>
      <c r="C28" s="11"/>
      <c r="D28" s="11"/>
    </row>
    <row r="29" spans="2:4" ht="15" customHeight="1">
      <c r="B29" s="12" t="s">
        <v>36</v>
      </c>
      <c r="C29" s="10">
        <v>20</v>
      </c>
      <c r="D29" s="9" t="s">
        <v>37</v>
      </c>
    </row>
    <row r="30" spans="2:4" ht="15" customHeight="1">
      <c r="B30" s="12" t="s">
        <v>38</v>
      </c>
      <c r="C30" s="10">
        <v>0.15</v>
      </c>
      <c r="D30" s="13" t="s">
        <v>39</v>
      </c>
    </row>
    <row r="31" spans="2:4" ht="15" customHeight="1">
      <c r="B31" s="12" t="s">
        <v>40</v>
      </c>
      <c r="C31" s="10">
        <v>0.35</v>
      </c>
      <c r="D31" s="13" t="s">
        <v>41</v>
      </c>
    </row>
    <row r="32" spans="2:4" ht="15" customHeight="1">
      <c r="B32" s="14" t="s">
        <v>42</v>
      </c>
      <c r="C32" s="15">
        <v>0.5</v>
      </c>
      <c r="D32" s="13" t="s">
        <v>43</v>
      </c>
    </row>
    <row r="33" spans="2:4">
      <c r="B33" t="s">
        <v>44</v>
      </c>
      <c r="C33" s="64">
        <v>10</v>
      </c>
      <c r="D33" t="s">
        <v>45</v>
      </c>
    </row>
    <row r="34" spans="2:4" ht="15" customHeight="1">
      <c r="B34" s="11" t="s">
        <v>46</v>
      </c>
      <c r="C34" s="11"/>
      <c r="D34" s="11"/>
    </row>
    <row r="35" spans="2:4" ht="15" customHeight="1">
      <c r="B35" s="12" t="s">
        <v>47</v>
      </c>
      <c r="C35" s="5">
        <v>2000000</v>
      </c>
      <c r="D35" s="13" t="s">
        <v>48</v>
      </c>
    </row>
    <row r="36" spans="2:4" ht="15" customHeight="1">
      <c r="B36" s="12" t="s">
        <v>49</v>
      </c>
      <c r="C36" s="5">
        <v>500000</v>
      </c>
      <c r="D36" s="13" t="s">
        <v>50</v>
      </c>
    </row>
  </sheetData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21"/>
  <sheetViews>
    <sheetView showGridLines="0" zoomScaleNormal="100" workbookViewId="0"/>
  </sheetViews>
  <sheetFormatPr defaultColWidth="8.6328125" defaultRowHeight="14.5"/>
  <cols>
    <col min="1" max="1" width="3" customWidth="1"/>
    <col min="2" max="2" width="30" customWidth="1"/>
    <col min="3" max="3" width="12.453125" bestFit="1" customWidth="1"/>
    <col min="4" max="15" width="11" customWidth="1"/>
  </cols>
  <sheetData>
    <row r="2" spans="2:15" ht="21.75" customHeight="1">
      <c r="B2" s="16" t="s">
        <v>51</v>
      </c>
    </row>
    <row r="3" spans="2:15" ht="15" customHeight="1">
      <c r="B3" s="2" t="s">
        <v>52</v>
      </c>
    </row>
    <row r="5" spans="2:15" ht="15" customHeight="1">
      <c r="B5" s="3" t="s">
        <v>53</v>
      </c>
      <c r="C5" s="17" t="s">
        <v>54</v>
      </c>
      <c r="D5" s="17" t="s">
        <v>55</v>
      </c>
      <c r="E5" s="17" t="s">
        <v>56</v>
      </c>
      <c r="F5" s="17" t="s">
        <v>57</v>
      </c>
      <c r="G5" s="17" t="s">
        <v>58</v>
      </c>
      <c r="H5" s="17" t="s">
        <v>59</v>
      </c>
      <c r="I5" s="17" t="s">
        <v>60</v>
      </c>
      <c r="J5" s="17" t="s">
        <v>61</v>
      </c>
      <c r="K5" s="17" t="s">
        <v>62</v>
      </c>
      <c r="L5" s="17" t="s">
        <v>63</v>
      </c>
      <c r="M5" s="17" t="s">
        <v>64</v>
      </c>
      <c r="N5" s="17" t="s">
        <v>65</v>
      </c>
      <c r="O5" s="17" t="s">
        <v>65</v>
      </c>
    </row>
    <row r="6" spans="2:15" ht="15" customHeight="1">
      <c r="B6" s="18" t="s">
        <v>66</v>
      </c>
      <c r="C6" s="19">
        <v>1</v>
      </c>
      <c r="D6" s="19">
        <v>1</v>
      </c>
      <c r="E6" s="19">
        <v>1</v>
      </c>
      <c r="F6" s="19">
        <v>1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</row>
    <row r="7" spans="2:15" ht="15" customHeight="1">
      <c r="B7" s="18" t="s">
        <v>67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1</v>
      </c>
      <c r="K7" s="19">
        <v>0</v>
      </c>
      <c r="L7" s="19">
        <v>1</v>
      </c>
      <c r="M7" s="19">
        <v>0</v>
      </c>
      <c r="N7" s="19">
        <v>1</v>
      </c>
    </row>
    <row r="8" spans="2:15" ht="15" customHeight="1">
      <c r="B8" s="18" t="s">
        <v>68</v>
      </c>
      <c r="C8" s="19">
        <v>0</v>
      </c>
      <c r="D8" s="19">
        <v>0</v>
      </c>
      <c r="E8" s="19">
        <v>0</v>
      </c>
      <c r="F8" s="19">
        <v>0</v>
      </c>
      <c r="G8" s="19">
        <v>1</v>
      </c>
      <c r="H8" s="19">
        <v>1</v>
      </c>
      <c r="I8" s="19">
        <v>1</v>
      </c>
      <c r="J8" s="19">
        <v>1</v>
      </c>
      <c r="K8" s="19">
        <v>2</v>
      </c>
      <c r="L8" s="19">
        <v>2</v>
      </c>
      <c r="M8" s="19">
        <v>2</v>
      </c>
      <c r="N8" s="19">
        <v>2</v>
      </c>
    </row>
    <row r="9" spans="2:15" ht="15" customHeight="1">
      <c r="B9" s="18" t="s">
        <v>69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1</v>
      </c>
      <c r="M9" s="19">
        <v>1</v>
      </c>
      <c r="N9" s="19">
        <v>1</v>
      </c>
    </row>
    <row r="11" spans="2:15" ht="15" customHeight="1">
      <c r="B11" s="20" t="s">
        <v>70</v>
      </c>
      <c r="C11" s="21">
        <f>C6*前提!$C$11+C7*前提!$C$12+C8*前提!$C$13+C9*前提!$C$14</f>
        <v>100000</v>
      </c>
      <c r="D11" s="21">
        <f>D6*前提!$C$11+D7*前提!$C$12+D8*前提!$C$13+D9*前提!$C$14</f>
        <v>100000</v>
      </c>
      <c r="E11" s="21">
        <f>E6*前提!$C$11+E7*前提!$C$12+E8*前提!$C$13+E9*前提!$C$14</f>
        <v>100000</v>
      </c>
      <c r="F11" s="21">
        <f>F6*前提!$C$11+F7*前提!$C$12+F8*前提!$C$13+F9*前提!$C$14</f>
        <v>100000</v>
      </c>
      <c r="G11" s="21">
        <f>G6*前提!$C$11+G7*前提!$C$12+G8*前提!$C$13+G9*前提!$C$14</f>
        <v>750000</v>
      </c>
      <c r="H11" s="21">
        <f>H6*前提!$C$11+H7*前提!$C$12+H8*前提!$C$13+H9*前提!$C$14</f>
        <v>750000</v>
      </c>
      <c r="I11" s="21">
        <f>I6*前提!$C$11+I7*前提!$C$12+I8*前提!$C$13+I9*前提!$C$14</f>
        <v>750000</v>
      </c>
      <c r="J11" s="21">
        <f>J6*前提!$C$11+J7*前提!$C$12+J8*前提!$C$13+J9*前提!$C$14</f>
        <v>1050000</v>
      </c>
      <c r="K11" s="21">
        <f>K6*前提!$C$11+K7*前提!$C$12+K8*前提!$C$13+K9*前提!$C$14</f>
        <v>1500000</v>
      </c>
      <c r="L11" s="21">
        <f>L6*前提!$C$11+L7*前提!$C$12+L8*前提!$C$13+L9*前提!$C$14</f>
        <v>1870000</v>
      </c>
      <c r="M11" s="21">
        <f>M6*前提!$C$11+M7*前提!$C$12+M8*前提!$C$13+M9*前提!$C$14</f>
        <v>1570000</v>
      </c>
      <c r="N11" s="21">
        <f>N6*前提!$C$11+N7*前提!$C$12+N8*前提!$C$13+N9*前提!$C$14</f>
        <v>1870000</v>
      </c>
    </row>
    <row r="12" spans="2:15" ht="15" customHeight="1">
      <c r="B12" s="4" t="s">
        <v>71</v>
      </c>
      <c r="C12" s="22">
        <f>前提!$C$8</f>
        <v>400000</v>
      </c>
      <c r="D12" s="22">
        <f>前提!$C$8</f>
        <v>400000</v>
      </c>
      <c r="E12" s="22">
        <f>前提!$C$8</f>
        <v>400000</v>
      </c>
      <c r="F12" s="22">
        <f>前提!$C$8</f>
        <v>400000</v>
      </c>
      <c r="G12" s="22">
        <f>前提!$C$8</f>
        <v>400000</v>
      </c>
      <c r="H12" s="22">
        <f>前提!$C$8</f>
        <v>400000</v>
      </c>
      <c r="I12" s="22">
        <f>前提!$C$8</f>
        <v>400000</v>
      </c>
      <c r="J12" s="22">
        <f>前提!$C$8</f>
        <v>400000</v>
      </c>
      <c r="K12" s="22">
        <f>前提!$C$8</f>
        <v>400000</v>
      </c>
      <c r="L12" s="22">
        <f>前提!$C$8</f>
        <v>400000</v>
      </c>
      <c r="M12" s="22">
        <f>前提!$C$8</f>
        <v>400000</v>
      </c>
      <c r="N12" s="22">
        <f>前提!$C$8</f>
        <v>400000</v>
      </c>
    </row>
    <row r="13" spans="2:15" ht="15" customHeight="1">
      <c r="B13" s="20" t="s">
        <v>72</v>
      </c>
      <c r="C13" s="21">
        <f t="shared" ref="C13:N13" si="0">C11+C12</f>
        <v>500000</v>
      </c>
      <c r="D13" s="21">
        <f t="shared" si="0"/>
        <v>500000</v>
      </c>
      <c r="E13" s="21">
        <f t="shared" si="0"/>
        <v>500000</v>
      </c>
      <c r="F13" s="21">
        <f t="shared" si="0"/>
        <v>500000</v>
      </c>
      <c r="G13" s="21">
        <f t="shared" si="0"/>
        <v>1150000</v>
      </c>
      <c r="H13" s="21">
        <f t="shared" si="0"/>
        <v>1150000</v>
      </c>
      <c r="I13" s="21">
        <f t="shared" si="0"/>
        <v>1150000</v>
      </c>
      <c r="J13" s="21">
        <f t="shared" si="0"/>
        <v>1450000</v>
      </c>
      <c r="K13" s="21">
        <f t="shared" si="0"/>
        <v>1900000</v>
      </c>
      <c r="L13" s="21">
        <f t="shared" si="0"/>
        <v>2270000</v>
      </c>
      <c r="M13" s="21">
        <f t="shared" si="0"/>
        <v>1970000</v>
      </c>
      <c r="N13" s="21">
        <f t="shared" si="0"/>
        <v>2270000</v>
      </c>
    </row>
    <row r="15" spans="2:15" ht="15" customHeight="1">
      <c r="B15" s="4" t="s">
        <v>73</v>
      </c>
      <c r="C15" s="22">
        <f>前提!$C$7</f>
        <v>183500</v>
      </c>
      <c r="D15" s="22">
        <f>前提!$C$7</f>
        <v>183500</v>
      </c>
      <c r="E15" s="22">
        <f>前提!$C$7</f>
        <v>183500</v>
      </c>
      <c r="F15" s="22">
        <f>前提!$C$7</f>
        <v>183500</v>
      </c>
      <c r="G15" s="22">
        <f>前提!$C$7</f>
        <v>183500</v>
      </c>
      <c r="H15" s="22">
        <f>前提!$C$7</f>
        <v>183500</v>
      </c>
      <c r="I15" s="22">
        <f>前提!$C$7</f>
        <v>183500</v>
      </c>
      <c r="J15" s="22">
        <f>前提!$C$7</f>
        <v>183500</v>
      </c>
      <c r="K15" s="22">
        <f>前提!$C$7</f>
        <v>183500</v>
      </c>
      <c r="L15" s="22">
        <f>前提!$C$7</f>
        <v>183500</v>
      </c>
      <c r="M15" s="22">
        <f>前提!$C$7</f>
        <v>183500</v>
      </c>
      <c r="N15" s="22">
        <f>前提!$C$7</f>
        <v>183500</v>
      </c>
    </row>
    <row r="16" spans="2:15" ht="15" customHeight="1">
      <c r="B16" s="23" t="s">
        <v>74</v>
      </c>
      <c r="C16" s="21">
        <f t="shared" ref="C16:N16" si="1">C13-C15</f>
        <v>316500</v>
      </c>
      <c r="D16" s="21">
        <f t="shared" si="1"/>
        <v>316500</v>
      </c>
      <c r="E16" s="21">
        <f t="shared" si="1"/>
        <v>316500</v>
      </c>
      <c r="F16" s="21">
        <f t="shared" si="1"/>
        <v>316500</v>
      </c>
      <c r="G16" s="21">
        <f t="shared" si="1"/>
        <v>966500</v>
      </c>
      <c r="H16" s="21">
        <f t="shared" si="1"/>
        <v>966500</v>
      </c>
      <c r="I16" s="21">
        <f t="shared" si="1"/>
        <v>966500</v>
      </c>
      <c r="J16" s="21">
        <f t="shared" si="1"/>
        <v>1266500</v>
      </c>
      <c r="K16" s="21">
        <f t="shared" si="1"/>
        <v>1716500</v>
      </c>
      <c r="L16" s="21">
        <f t="shared" si="1"/>
        <v>2086500</v>
      </c>
      <c r="M16" s="21">
        <f t="shared" si="1"/>
        <v>1786500</v>
      </c>
      <c r="N16" s="21">
        <f t="shared" si="1"/>
        <v>2086500</v>
      </c>
    </row>
    <row r="17" spans="2:14" ht="15" customHeight="1">
      <c r="B17" s="24" t="s">
        <v>75</v>
      </c>
      <c r="C17" s="21">
        <f>前提!$C$6+C16</f>
        <v>2316500</v>
      </c>
      <c r="D17" s="21">
        <f t="shared" ref="D17:N17" si="2">C17+D16</f>
        <v>2633000</v>
      </c>
      <c r="E17" s="21">
        <f t="shared" si="2"/>
        <v>2949500</v>
      </c>
      <c r="F17" s="21">
        <f t="shared" si="2"/>
        <v>3266000</v>
      </c>
      <c r="G17" s="21">
        <f t="shared" si="2"/>
        <v>4232500</v>
      </c>
      <c r="H17" s="21">
        <f t="shared" si="2"/>
        <v>5199000</v>
      </c>
      <c r="I17" s="21">
        <f t="shared" si="2"/>
        <v>6165500</v>
      </c>
      <c r="J17" s="21">
        <f t="shared" si="2"/>
        <v>7432000</v>
      </c>
      <c r="K17" s="21">
        <f t="shared" si="2"/>
        <v>9148500</v>
      </c>
      <c r="L17" s="21">
        <f t="shared" si="2"/>
        <v>11235000</v>
      </c>
      <c r="M17" s="21">
        <f t="shared" si="2"/>
        <v>13021500</v>
      </c>
      <c r="N17" s="21">
        <f t="shared" si="2"/>
        <v>15108000</v>
      </c>
    </row>
    <row r="19" spans="2:14" ht="15" customHeight="1">
      <c r="B19" s="25" t="s">
        <v>76</v>
      </c>
      <c r="C19" s="26">
        <f>SUM(C11:N11)</f>
        <v>10510000</v>
      </c>
    </row>
    <row r="20" spans="2:14" ht="15" customHeight="1">
      <c r="B20" s="25" t="s">
        <v>77</v>
      </c>
      <c r="C20" s="27">
        <f>N17</f>
        <v>15108000</v>
      </c>
    </row>
    <row r="21" spans="2:14" ht="15" customHeight="1">
      <c r="B21" s="25" t="s">
        <v>78</v>
      </c>
      <c r="C21" s="28">
        <f>MIN(C17:N17)</f>
        <v>2316500</v>
      </c>
      <c r="D21" s="2" t="s">
        <v>79</v>
      </c>
    </row>
  </sheetData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22"/>
  <sheetViews>
    <sheetView showGridLines="0" zoomScaleNormal="100" workbookViewId="0">
      <selection activeCell="H24" sqref="H24"/>
    </sheetView>
  </sheetViews>
  <sheetFormatPr defaultColWidth="8.6328125" defaultRowHeight="14.5"/>
  <cols>
    <col min="1" max="1" width="3" customWidth="1"/>
    <col min="2" max="2" width="30" customWidth="1"/>
    <col min="3" max="5" width="12.453125" bestFit="1" customWidth="1"/>
    <col min="6" max="14" width="10" customWidth="1"/>
  </cols>
  <sheetData>
    <row r="2" spans="2:14" ht="21.75" customHeight="1">
      <c r="B2" s="16" t="s">
        <v>80</v>
      </c>
    </row>
    <row r="3" spans="2:14" ht="15" customHeight="1">
      <c r="B3" s="2" t="s">
        <v>81</v>
      </c>
    </row>
    <row r="5" spans="2:14" ht="15" customHeight="1">
      <c r="B5" s="3" t="s">
        <v>53</v>
      </c>
      <c r="C5" s="17" t="s">
        <v>82</v>
      </c>
      <c r="D5" s="17" t="s">
        <v>83</v>
      </c>
      <c r="E5" s="17" t="s">
        <v>84</v>
      </c>
      <c r="F5" s="17" t="s">
        <v>85</v>
      </c>
      <c r="G5" s="17" t="s">
        <v>86</v>
      </c>
      <c r="H5" s="17" t="s">
        <v>87</v>
      </c>
      <c r="I5" s="17" t="s">
        <v>88</v>
      </c>
      <c r="J5" s="17" t="s">
        <v>89</v>
      </c>
      <c r="K5" s="17" t="s">
        <v>90</v>
      </c>
      <c r="L5" s="17" t="s">
        <v>91</v>
      </c>
      <c r="M5" s="17" t="s">
        <v>92</v>
      </c>
      <c r="N5" s="17" t="s">
        <v>93</v>
      </c>
    </row>
    <row r="6" spans="2:14" ht="15" customHeight="1">
      <c r="B6" s="4" t="s">
        <v>94</v>
      </c>
      <c r="C6" s="29">
        <v>3</v>
      </c>
      <c r="D6" s="29">
        <v>2</v>
      </c>
      <c r="E6" s="29">
        <v>2</v>
      </c>
      <c r="F6" s="29">
        <v>2</v>
      </c>
      <c r="G6" s="29">
        <v>2</v>
      </c>
      <c r="H6" s="29">
        <v>2</v>
      </c>
      <c r="I6" s="29">
        <v>2</v>
      </c>
      <c r="J6" s="29">
        <v>2</v>
      </c>
      <c r="K6" s="29">
        <v>1</v>
      </c>
      <c r="L6" s="29">
        <v>1</v>
      </c>
      <c r="M6" s="29">
        <v>1</v>
      </c>
      <c r="N6" s="29">
        <v>1</v>
      </c>
    </row>
    <row r="7" spans="2:14" ht="15" customHeight="1">
      <c r="B7" s="4" t="s">
        <v>95</v>
      </c>
      <c r="C7" s="29">
        <v>0</v>
      </c>
      <c r="D7" s="29">
        <v>1</v>
      </c>
      <c r="E7" s="29">
        <v>1.5</v>
      </c>
      <c r="F7" s="29">
        <v>2</v>
      </c>
      <c r="G7" s="29">
        <v>2</v>
      </c>
      <c r="H7" s="29">
        <v>2</v>
      </c>
      <c r="I7" s="29">
        <v>2</v>
      </c>
      <c r="J7" s="29">
        <v>2</v>
      </c>
      <c r="K7" s="29">
        <v>2</v>
      </c>
      <c r="L7" s="29">
        <v>2</v>
      </c>
      <c r="M7" s="29">
        <v>2</v>
      </c>
      <c r="N7" s="29">
        <v>2</v>
      </c>
    </row>
    <row r="8" spans="2:14" ht="15" customHeight="1">
      <c r="B8" s="4" t="s">
        <v>96</v>
      </c>
      <c r="C8" s="19">
        <v>0</v>
      </c>
      <c r="D8" s="19">
        <v>0</v>
      </c>
      <c r="E8" s="19">
        <v>0</v>
      </c>
      <c r="F8" s="19">
        <v>1</v>
      </c>
      <c r="G8" s="19">
        <v>2</v>
      </c>
      <c r="H8" s="19">
        <v>3</v>
      </c>
      <c r="I8" s="19">
        <v>4</v>
      </c>
      <c r="J8" s="19">
        <v>5</v>
      </c>
      <c r="K8" s="19">
        <v>6</v>
      </c>
      <c r="L8" s="19">
        <v>7</v>
      </c>
      <c r="M8" s="19">
        <v>8</v>
      </c>
      <c r="N8" s="19">
        <v>9</v>
      </c>
    </row>
    <row r="10" spans="2:14" ht="15" customHeight="1">
      <c r="B10" s="20" t="s">
        <v>97</v>
      </c>
      <c r="C10" s="21">
        <f>C6*前提!$C$11+C7*前提!$C$13*3+C8*前提!$C$14*3</f>
        <v>300000</v>
      </c>
      <c r="D10" s="21">
        <f>D6*前提!$C$11+D7*前提!$C$13*3+D8*前提!$C$14*3</f>
        <v>2450000</v>
      </c>
      <c r="E10" s="21">
        <f>E6*前提!$C$12+E7*前提!$C$13*3+E8*前提!$C$14*3</f>
        <v>3975000</v>
      </c>
      <c r="F10" s="21">
        <f>F6*前提!$C$12+F7*前提!$C$13*3+F8*前提!$C$14*3</f>
        <v>5310000</v>
      </c>
      <c r="G10" s="21">
        <f>G6*前提!$C$12+G7*前提!$C$13*3+G8*前提!$C$14*3</f>
        <v>5520000</v>
      </c>
      <c r="H10" s="21">
        <f>H6*前提!$C$12+H7*前提!$C$13*3+H8*前提!$C$14*3</f>
        <v>5730000</v>
      </c>
      <c r="I10" s="21">
        <f>I6*前提!$C$12+I7*前提!$C$13*3+I8*前提!$C$14*3</f>
        <v>5940000</v>
      </c>
      <c r="J10" s="21">
        <f>J6*前提!$C$12+J7*前提!$C$13*3+J8*前提!$C$14*3</f>
        <v>6150000</v>
      </c>
      <c r="K10" s="21">
        <f>K6*前提!$C$12+K7*前提!$C$13*3+K8*前提!$C$14*3</f>
        <v>6060000</v>
      </c>
      <c r="L10" s="21">
        <f>L6*前提!$C$12+L7*前提!$C$13*3+L8*前提!$C$14*3</f>
        <v>6270000</v>
      </c>
      <c r="M10" s="21">
        <f>M6*前提!$C$12+M7*前提!$C$13*3+M8*前提!$C$14*3</f>
        <v>6480000</v>
      </c>
      <c r="N10" s="21">
        <f>N6*前提!$C$12+N7*前提!$C$13*3+N8*前提!$C$14*3</f>
        <v>6690000</v>
      </c>
    </row>
    <row r="11" spans="2:14" ht="15" customHeight="1">
      <c r="B11" s="4" t="s">
        <v>98</v>
      </c>
      <c r="C11" s="22">
        <f>前提!$C$8*3</f>
        <v>1200000</v>
      </c>
      <c r="D11" s="22">
        <f>前提!$C$8*3</f>
        <v>1200000</v>
      </c>
      <c r="E11" s="22">
        <f>前提!$C$8*3</f>
        <v>1200000</v>
      </c>
      <c r="F11" s="22">
        <f>前提!$C$8*3</f>
        <v>1200000</v>
      </c>
      <c r="G11" s="22">
        <f>前提!$C$8*3</f>
        <v>1200000</v>
      </c>
      <c r="H11" s="22">
        <f>前提!$C$8*3</f>
        <v>1200000</v>
      </c>
      <c r="I11" s="22">
        <f>前提!$C$8*3</f>
        <v>1200000</v>
      </c>
      <c r="J11" s="22">
        <f>前提!$C$8*3</f>
        <v>1200000</v>
      </c>
      <c r="K11" s="22">
        <f>前提!$C$8*3</f>
        <v>1200000</v>
      </c>
      <c r="L11" s="22">
        <f>前提!$C$8*3</f>
        <v>1200000</v>
      </c>
      <c r="M11" s="22">
        <f>前提!$C$8*3</f>
        <v>1200000</v>
      </c>
      <c r="N11" s="22">
        <f>前提!$C$8*3</f>
        <v>1200000</v>
      </c>
    </row>
    <row r="12" spans="2:14" ht="15" customHeight="1">
      <c r="B12" s="20" t="s">
        <v>99</v>
      </c>
      <c r="C12" s="21">
        <f t="shared" ref="C12:N12" si="0">C10+C11</f>
        <v>1500000</v>
      </c>
      <c r="D12" s="21">
        <f t="shared" si="0"/>
        <v>3650000</v>
      </c>
      <c r="E12" s="21">
        <f t="shared" si="0"/>
        <v>5175000</v>
      </c>
      <c r="F12" s="21">
        <f t="shared" si="0"/>
        <v>6510000</v>
      </c>
      <c r="G12" s="21">
        <f t="shared" si="0"/>
        <v>6720000</v>
      </c>
      <c r="H12" s="21">
        <f t="shared" si="0"/>
        <v>6930000</v>
      </c>
      <c r="I12" s="21">
        <f t="shared" si="0"/>
        <v>7140000</v>
      </c>
      <c r="J12" s="21">
        <f t="shared" si="0"/>
        <v>7350000</v>
      </c>
      <c r="K12" s="21">
        <f t="shared" si="0"/>
        <v>7260000</v>
      </c>
      <c r="L12" s="21">
        <f t="shared" si="0"/>
        <v>7470000</v>
      </c>
      <c r="M12" s="21">
        <f t="shared" si="0"/>
        <v>7680000</v>
      </c>
      <c r="N12" s="21">
        <f t="shared" si="0"/>
        <v>7890000</v>
      </c>
    </row>
    <row r="13" spans="2:14" ht="15" customHeight="1">
      <c r="B13" s="4" t="s">
        <v>100</v>
      </c>
      <c r="C13" s="22">
        <f>前提!$C$7*3</f>
        <v>550500</v>
      </c>
      <c r="D13" s="22">
        <f>前提!$C$7*3</f>
        <v>550500</v>
      </c>
      <c r="E13" s="22">
        <f>前提!$C$7*3</f>
        <v>550500</v>
      </c>
      <c r="F13" s="22">
        <f>前提!$C$7*3</f>
        <v>550500</v>
      </c>
      <c r="G13" s="22">
        <f>前提!$C$7*3</f>
        <v>550500</v>
      </c>
      <c r="H13" s="22">
        <f>前提!$C$7*3</f>
        <v>550500</v>
      </c>
      <c r="I13" s="22">
        <f>前提!$C$7*3</f>
        <v>550500</v>
      </c>
      <c r="J13" s="22">
        <f>前提!$C$7*3</f>
        <v>550500</v>
      </c>
      <c r="K13" s="22">
        <f>前提!$C$7*3</f>
        <v>550500</v>
      </c>
      <c r="L13" s="22">
        <f>前提!$C$7*3</f>
        <v>550500</v>
      </c>
      <c r="M13" s="22">
        <f>前提!$C$7*3</f>
        <v>550500</v>
      </c>
      <c r="N13" s="22">
        <f>前提!$C$7*3</f>
        <v>550500</v>
      </c>
    </row>
    <row r="14" spans="2:14" ht="15" customHeight="1">
      <c r="B14" s="23" t="s">
        <v>101</v>
      </c>
      <c r="C14" s="21">
        <f t="shared" ref="C14:N14" si="1">C12-C13</f>
        <v>949500</v>
      </c>
      <c r="D14" s="21">
        <f t="shared" si="1"/>
        <v>3099500</v>
      </c>
      <c r="E14" s="21">
        <f t="shared" si="1"/>
        <v>4624500</v>
      </c>
      <c r="F14" s="21">
        <f t="shared" si="1"/>
        <v>5959500</v>
      </c>
      <c r="G14" s="21">
        <f t="shared" si="1"/>
        <v>6169500</v>
      </c>
      <c r="H14" s="21">
        <f t="shared" si="1"/>
        <v>6379500</v>
      </c>
      <c r="I14" s="21">
        <f t="shared" si="1"/>
        <v>6589500</v>
      </c>
      <c r="J14" s="21">
        <f t="shared" si="1"/>
        <v>6799500</v>
      </c>
      <c r="K14" s="21">
        <f t="shared" si="1"/>
        <v>6709500</v>
      </c>
      <c r="L14" s="21">
        <f t="shared" si="1"/>
        <v>6919500</v>
      </c>
      <c r="M14" s="21">
        <f t="shared" si="1"/>
        <v>7129500</v>
      </c>
      <c r="N14" s="21">
        <f t="shared" si="1"/>
        <v>7339500</v>
      </c>
    </row>
    <row r="15" spans="2:14" ht="15" customHeight="1">
      <c r="B15" s="24" t="s">
        <v>102</v>
      </c>
      <c r="C15" s="21">
        <f>前提!$C$6+C14</f>
        <v>2949500</v>
      </c>
      <c r="D15" s="21">
        <f t="shared" ref="D15:N15" si="2">C15+D14</f>
        <v>6049000</v>
      </c>
      <c r="E15" s="21">
        <f t="shared" si="2"/>
        <v>10673500</v>
      </c>
      <c r="F15" s="21">
        <f t="shared" si="2"/>
        <v>16633000</v>
      </c>
      <c r="G15" s="21">
        <f t="shared" si="2"/>
        <v>22802500</v>
      </c>
      <c r="H15" s="21">
        <f t="shared" si="2"/>
        <v>29182000</v>
      </c>
      <c r="I15" s="21">
        <f t="shared" si="2"/>
        <v>35771500</v>
      </c>
      <c r="J15" s="21">
        <f t="shared" si="2"/>
        <v>42571000</v>
      </c>
      <c r="K15" s="21">
        <f t="shared" si="2"/>
        <v>49280500</v>
      </c>
      <c r="L15" s="21">
        <f t="shared" si="2"/>
        <v>56200000</v>
      </c>
      <c r="M15" s="21">
        <f t="shared" si="2"/>
        <v>63329500</v>
      </c>
      <c r="N15" s="21">
        <f t="shared" si="2"/>
        <v>70669000</v>
      </c>
    </row>
    <row r="17" spans="2:5" ht="15" customHeight="1">
      <c r="B17" s="30" t="s">
        <v>103</v>
      </c>
      <c r="C17" s="31">
        <f>SUM(C12:F12)</f>
        <v>16835000</v>
      </c>
      <c r="D17" s="31">
        <f>SUM(G12:J12)</f>
        <v>28140000</v>
      </c>
      <c r="E17" s="31">
        <f>SUM(K12:N12)</f>
        <v>30300000</v>
      </c>
    </row>
    <row r="18" spans="2:5" ht="15" customHeight="1">
      <c r="B18" s="2" t="s">
        <v>104</v>
      </c>
    </row>
    <row r="22" spans="2:5" ht="15" customHeight="1">
      <c r="B22" s="25" t="s">
        <v>105</v>
      </c>
      <c r="C22" s="32">
        <f>SUM(C12:F12)</f>
        <v>16835000</v>
      </c>
      <c r="D22" s="32">
        <f>SUM(G12:J12)</f>
        <v>28140000</v>
      </c>
      <c r="E22" s="32">
        <f>SUM(K12:N12)</f>
        <v>30300000</v>
      </c>
    </row>
  </sheetData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21"/>
  <sheetViews>
    <sheetView showGridLines="0" zoomScaleNormal="100" workbookViewId="0"/>
  </sheetViews>
  <sheetFormatPr defaultColWidth="8.6328125" defaultRowHeight="14.5"/>
  <cols>
    <col min="1" max="1" width="3" customWidth="1"/>
    <col min="2" max="2" width="100" customWidth="1"/>
  </cols>
  <sheetData>
    <row r="2" spans="2:2" ht="21.75" customHeight="1">
      <c r="B2" s="1" t="s">
        <v>106</v>
      </c>
    </row>
    <row r="3" spans="2:2" ht="15" customHeight="1">
      <c r="B3" s="33"/>
    </row>
    <row r="4" spans="2:2" ht="15" customHeight="1">
      <c r="B4" s="34" t="s">
        <v>107</v>
      </c>
    </row>
    <row r="5" spans="2:2" ht="15" customHeight="1">
      <c r="B5" s="35" t="s">
        <v>108</v>
      </c>
    </row>
    <row r="6" spans="2:2" ht="15" customHeight="1">
      <c r="B6" s="35" t="s">
        <v>109</v>
      </c>
    </row>
    <row r="7" spans="2:2" ht="15" customHeight="1">
      <c r="B7" s="35" t="s">
        <v>110</v>
      </c>
    </row>
    <row r="8" spans="2:2" ht="15" customHeight="1">
      <c r="B8" s="33"/>
    </row>
    <row r="9" spans="2:2" ht="15" customHeight="1">
      <c r="B9" s="34" t="s">
        <v>111</v>
      </c>
    </row>
    <row r="10" spans="2:2" ht="29.25" customHeight="1">
      <c r="B10" s="35" t="s">
        <v>112</v>
      </c>
    </row>
    <row r="11" spans="2:2" ht="15" customHeight="1">
      <c r="B11" s="35" t="s">
        <v>113</v>
      </c>
    </row>
    <row r="12" spans="2:2" ht="15" customHeight="1">
      <c r="B12" s="33"/>
    </row>
    <row r="13" spans="2:2" ht="15" customHeight="1">
      <c r="B13" s="34" t="s">
        <v>114</v>
      </c>
    </row>
    <row r="14" spans="2:2" ht="15" customHeight="1">
      <c r="B14" s="35" t="s">
        <v>115</v>
      </c>
    </row>
    <row r="15" spans="2:2" ht="15" customHeight="1">
      <c r="B15" s="35" t="s">
        <v>116</v>
      </c>
    </row>
    <row r="16" spans="2:2" ht="15" customHeight="1">
      <c r="B16" s="35" t="s">
        <v>117</v>
      </c>
    </row>
    <row r="17" spans="2:2" ht="15" customHeight="1">
      <c r="B17" s="33"/>
    </row>
    <row r="18" spans="2:2" ht="15" customHeight="1">
      <c r="B18" s="34" t="s">
        <v>118</v>
      </c>
    </row>
    <row r="19" spans="2:2" ht="15" customHeight="1">
      <c r="B19" s="35" t="s">
        <v>119</v>
      </c>
    </row>
    <row r="20" spans="2:2" ht="29.25" customHeight="1">
      <c r="B20" s="35" t="s">
        <v>120</v>
      </c>
    </row>
    <row r="21" spans="2:2" ht="15" customHeight="1">
      <c r="B21" s="35" t="s">
        <v>121</v>
      </c>
    </row>
  </sheetData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19"/>
  <sheetViews>
    <sheetView showGridLines="0" zoomScaleNormal="100" workbookViewId="0"/>
  </sheetViews>
  <sheetFormatPr defaultColWidth="8.6328125" defaultRowHeight="14.5"/>
  <cols>
    <col min="1" max="1" width="3" customWidth="1"/>
    <col min="2" max="2" width="26" customWidth="1"/>
    <col min="3" max="14" width="10" customWidth="1"/>
    <col min="15" max="15" width="12" customWidth="1"/>
  </cols>
  <sheetData>
    <row r="2" spans="2:15" ht="21.75" customHeight="1">
      <c r="B2" s="16" t="s">
        <v>122</v>
      </c>
    </row>
    <row r="3" spans="2:15" ht="15" customHeight="1">
      <c r="B3" s="2" t="s">
        <v>123</v>
      </c>
    </row>
    <row r="5" spans="2:15" ht="15" customHeight="1">
      <c r="B5" s="3" t="s">
        <v>53</v>
      </c>
      <c r="C5" s="17" t="s">
        <v>54</v>
      </c>
      <c r="D5" s="17" t="s">
        <v>55</v>
      </c>
      <c r="E5" s="17" t="s">
        <v>56</v>
      </c>
      <c r="F5" s="17" t="s">
        <v>57</v>
      </c>
      <c r="G5" s="17" t="s">
        <v>58</v>
      </c>
      <c r="H5" s="17" t="s">
        <v>59</v>
      </c>
      <c r="I5" s="17" t="s">
        <v>60</v>
      </c>
      <c r="J5" s="17" t="s">
        <v>61</v>
      </c>
      <c r="K5" s="17" t="s">
        <v>62</v>
      </c>
      <c r="L5" s="17" t="s">
        <v>63</v>
      </c>
      <c r="M5" s="17" t="s">
        <v>64</v>
      </c>
      <c r="N5" s="17" t="s">
        <v>65</v>
      </c>
      <c r="O5" s="36" t="s">
        <v>124</v>
      </c>
    </row>
    <row r="6" spans="2:15" ht="15" customHeight="1">
      <c r="B6" s="20" t="s">
        <v>125</v>
      </c>
      <c r="C6" s="22">
        <f>Year1_月次!C13</f>
        <v>500000</v>
      </c>
      <c r="D6" s="22">
        <f>Year1_月次!D13</f>
        <v>500000</v>
      </c>
      <c r="E6" s="22">
        <f>Year1_月次!E13</f>
        <v>500000</v>
      </c>
      <c r="F6" s="22">
        <f>Year1_月次!F13</f>
        <v>500000</v>
      </c>
      <c r="G6" s="22">
        <f>Year1_月次!G13</f>
        <v>1150000</v>
      </c>
      <c r="H6" s="22">
        <f>Year1_月次!H13</f>
        <v>1150000</v>
      </c>
      <c r="I6" s="22">
        <f>Year1_月次!I13</f>
        <v>1150000</v>
      </c>
      <c r="J6" s="22">
        <f>Year1_月次!J13</f>
        <v>1450000</v>
      </c>
      <c r="K6" s="22">
        <f>Year1_月次!K13</f>
        <v>1900000</v>
      </c>
      <c r="L6" s="22">
        <f>Year1_月次!L13</f>
        <v>2270000</v>
      </c>
      <c r="M6" s="22">
        <f>Year1_月次!M13</f>
        <v>1970000</v>
      </c>
      <c r="N6" s="22">
        <f>Year1_月次!N13</f>
        <v>2270000</v>
      </c>
      <c r="O6" s="31">
        <f>SUM(C6:N6)</f>
        <v>15310000</v>
      </c>
    </row>
    <row r="8" spans="2:15" ht="15" customHeight="1">
      <c r="B8" s="4" t="s">
        <v>126</v>
      </c>
      <c r="C8" s="22">
        <f>前提!$C$20</f>
        <v>70000</v>
      </c>
      <c r="D8" s="22">
        <f>前提!$C$20</f>
        <v>70000</v>
      </c>
      <c r="E8" s="22">
        <f>前提!$C$20</f>
        <v>70000</v>
      </c>
      <c r="F8" s="22">
        <f>前提!$C$20</f>
        <v>70000</v>
      </c>
      <c r="G8" s="22">
        <f>前提!$C$20</f>
        <v>70000</v>
      </c>
      <c r="H8" s="22">
        <f>前提!$C$20</f>
        <v>70000</v>
      </c>
      <c r="I8" s="22">
        <f>前提!$C$20</f>
        <v>70000</v>
      </c>
      <c r="J8" s="22">
        <f>前提!$C$20</f>
        <v>70000</v>
      </c>
      <c r="K8" s="22">
        <f>前提!$C$20</f>
        <v>70000</v>
      </c>
      <c r="L8" s="22">
        <f>前提!$C$20</f>
        <v>70000</v>
      </c>
      <c r="M8" s="22">
        <f>前提!$C$20</f>
        <v>70000</v>
      </c>
      <c r="N8" s="22">
        <f>前提!$C$20</f>
        <v>70000</v>
      </c>
      <c r="O8" s="37">
        <f>SUM(C8:N8)</f>
        <v>840000</v>
      </c>
    </row>
    <row r="9" spans="2:15" ht="15" customHeight="1">
      <c r="B9" s="4" t="s">
        <v>127</v>
      </c>
      <c r="C9" s="22">
        <f>前提!$C$21</f>
        <v>11000</v>
      </c>
      <c r="D9" s="22">
        <f>前提!$C$21</f>
        <v>11000</v>
      </c>
      <c r="E9" s="22">
        <f>前提!$C$21</f>
        <v>11000</v>
      </c>
      <c r="F9" s="22">
        <f>前提!$C$21</f>
        <v>11000</v>
      </c>
      <c r="G9" s="22">
        <f>前提!$C$21</f>
        <v>11000</v>
      </c>
      <c r="H9" s="22">
        <f>前提!$C$21</f>
        <v>11000</v>
      </c>
      <c r="I9" s="22">
        <f>前提!$C$21</f>
        <v>11000</v>
      </c>
      <c r="J9" s="22">
        <f>前提!$C$21</f>
        <v>11000</v>
      </c>
      <c r="K9" s="22">
        <f>前提!$C$21</f>
        <v>11000</v>
      </c>
      <c r="L9" s="22">
        <f>前提!$C$21</f>
        <v>11000</v>
      </c>
      <c r="M9" s="22">
        <f>前提!$C$21</f>
        <v>11000</v>
      </c>
      <c r="N9" s="22">
        <f>前提!$C$21</f>
        <v>11000</v>
      </c>
      <c r="O9" s="37">
        <f>SUM(C9:N9)</f>
        <v>132000</v>
      </c>
    </row>
    <row r="10" spans="2:15" ht="15" customHeight="1">
      <c r="B10" s="4" t="s">
        <v>128</v>
      </c>
      <c r="C10" s="22">
        <f>前提!$C$22</f>
        <v>102500</v>
      </c>
      <c r="D10" s="22">
        <f>前提!$C$22</f>
        <v>102500</v>
      </c>
      <c r="E10" s="22">
        <f>前提!$C$22</f>
        <v>102500</v>
      </c>
      <c r="F10" s="22">
        <f>前提!$C$22</f>
        <v>102500</v>
      </c>
      <c r="G10" s="22">
        <f>前提!$C$22</f>
        <v>102500</v>
      </c>
      <c r="H10" s="22">
        <f>前提!$C$22</f>
        <v>102500</v>
      </c>
      <c r="I10" s="22">
        <f>前提!$C$22</f>
        <v>102500</v>
      </c>
      <c r="J10" s="22">
        <f>前提!$C$22</f>
        <v>102500</v>
      </c>
      <c r="K10" s="22">
        <f>前提!$C$22</f>
        <v>102500</v>
      </c>
      <c r="L10" s="22">
        <f>前提!$C$22</f>
        <v>102500</v>
      </c>
      <c r="M10" s="22">
        <f>前提!$C$22</f>
        <v>102500</v>
      </c>
      <c r="N10" s="22">
        <f>前提!$C$22</f>
        <v>102500</v>
      </c>
      <c r="O10" s="37">
        <f>SUM(C10:N10)</f>
        <v>1230000</v>
      </c>
    </row>
    <row r="11" spans="2:15" ht="15" customHeight="1">
      <c r="B11" s="38" t="s">
        <v>129</v>
      </c>
      <c r="C11" s="21">
        <f t="shared" ref="C11:N11" si="0">C8+C9+C10</f>
        <v>183500</v>
      </c>
      <c r="D11" s="21">
        <f t="shared" si="0"/>
        <v>183500</v>
      </c>
      <c r="E11" s="21">
        <f t="shared" si="0"/>
        <v>183500</v>
      </c>
      <c r="F11" s="21">
        <f t="shared" si="0"/>
        <v>183500</v>
      </c>
      <c r="G11" s="21">
        <f t="shared" si="0"/>
        <v>183500</v>
      </c>
      <c r="H11" s="21">
        <f t="shared" si="0"/>
        <v>183500</v>
      </c>
      <c r="I11" s="21">
        <f t="shared" si="0"/>
        <v>183500</v>
      </c>
      <c r="J11" s="21">
        <f t="shared" si="0"/>
        <v>183500</v>
      </c>
      <c r="K11" s="21">
        <f t="shared" si="0"/>
        <v>183500</v>
      </c>
      <c r="L11" s="21">
        <f t="shared" si="0"/>
        <v>183500</v>
      </c>
      <c r="M11" s="21">
        <f t="shared" si="0"/>
        <v>183500</v>
      </c>
      <c r="N11" s="21">
        <f t="shared" si="0"/>
        <v>183500</v>
      </c>
      <c r="O11" s="37">
        <f>SUM(C11:N11)</f>
        <v>2202000</v>
      </c>
    </row>
    <row r="13" spans="2:15" ht="15" customHeight="1">
      <c r="B13" s="24" t="s">
        <v>130</v>
      </c>
      <c r="C13" s="21">
        <f t="shared" ref="C13:N13" si="1">C6-C11</f>
        <v>316500</v>
      </c>
      <c r="D13" s="21">
        <f t="shared" si="1"/>
        <v>316500</v>
      </c>
      <c r="E13" s="21">
        <f t="shared" si="1"/>
        <v>316500</v>
      </c>
      <c r="F13" s="21">
        <f t="shared" si="1"/>
        <v>316500</v>
      </c>
      <c r="G13" s="21">
        <f t="shared" si="1"/>
        <v>966500</v>
      </c>
      <c r="H13" s="21">
        <f t="shared" si="1"/>
        <v>966500</v>
      </c>
      <c r="I13" s="21">
        <f t="shared" si="1"/>
        <v>966500</v>
      </c>
      <c r="J13" s="21">
        <f t="shared" si="1"/>
        <v>1266500</v>
      </c>
      <c r="K13" s="21">
        <f t="shared" si="1"/>
        <v>1716500</v>
      </c>
      <c r="L13" s="21">
        <f t="shared" si="1"/>
        <v>2086500</v>
      </c>
      <c r="M13" s="21">
        <f t="shared" si="1"/>
        <v>1786500</v>
      </c>
      <c r="N13" s="21">
        <f t="shared" si="1"/>
        <v>2086500</v>
      </c>
      <c r="O13" s="39">
        <f>SUM(C13:N13)</f>
        <v>13108000</v>
      </c>
    </row>
    <row r="15" spans="2:15" ht="15" customHeight="1">
      <c r="B15" s="25" t="s">
        <v>131</v>
      </c>
    </row>
    <row r="16" spans="2:15" ht="36.75" customHeight="1">
      <c r="B16" s="4" t="s">
        <v>132</v>
      </c>
      <c r="C16" s="40" t="s">
        <v>133</v>
      </c>
      <c r="O16" s="41">
        <f>O6*前提!$C$24*(1-前提!$C$23)</f>
        <v>765500</v>
      </c>
    </row>
    <row r="17" spans="2:15" ht="39" customHeight="1">
      <c r="B17" s="4" t="s">
        <v>134</v>
      </c>
      <c r="C17" s="40" t="s">
        <v>135</v>
      </c>
      <c r="O17" s="41">
        <f>MAX(前提!$C$26,O13*前提!$C$25)</f>
        <v>3277000</v>
      </c>
    </row>
    <row r="18" spans="2:15" ht="15" customHeight="1">
      <c r="B18" s="4" t="s">
        <v>136</v>
      </c>
      <c r="C18" s="40"/>
      <c r="O18" s="39">
        <f>O13-O17</f>
        <v>9831000</v>
      </c>
    </row>
    <row r="19" spans="2:15" ht="39" customHeight="1">
      <c r="B19" s="4" t="s">
        <v>137</v>
      </c>
      <c r="C19" s="40" t="s">
        <v>138</v>
      </c>
      <c r="O19" s="42">
        <f>O16+O17</f>
        <v>4042500</v>
      </c>
    </row>
  </sheetData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14"/>
  <sheetViews>
    <sheetView showGridLines="0" zoomScaleNormal="100" workbookViewId="0"/>
  </sheetViews>
  <sheetFormatPr defaultColWidth="8.6328125" defaultRowHeight="14.5"/>
  <cols>
    <col min="1" max="1" width="3" customWidth="1"/>
    <col min="2" max="2" width="30" customWidth="1"/>
    <col min="3" max="3" width="12.453125" bestFit="1" customWidth="1"/>
    <col min="4" max="15" width="11" customWidth="1"/>
  </cols>
  <sheetData>
    <row r="2" spans="2:14" ht="21.75" customHeight="1">
      <c r="B2" s="16" t="s">
        <v>139</v>
      </c>
    </row>
    <row r="3" spans="2:14" ht="15" customHeight="1">
      <c r="B3" s="2" t="s">
        <v>140</v>
      </c>
    </row>
    <row r="5" spans="2:14" ht="15" customHeight="1">
      <c r="B5" s="3" t="s">
        <v>53</v>
      </c>
      <c r="C5" s="17" t="s">
        <v>54</v>
      </c>
      <c r="D5" s="17" t="s">
        <v>55</v>
      </c>
      <c r="E5" s="17" t="s">
        <v>56</v>
      </c>
      <c r="F5" s="17" t="s">
        <v>57</v>
      </c>
      <c r="G5" s="17" t="s">
        <v>58</v>
      </c>
      <c r="H5" s="17" t="s">
        <v>59</v>
      </c>
      <c r="I5" s="17" t="s">
        <v>60</v>
      </c>
      <c r="J5" s="17" t="s">
        <v>61</v>
      </c>
      <c r="K5" s="17" t="s">
        <v>62</v>
      </c>
      <c r="L5" s="17" t="s">
        <v>63</v>
      </c>
      <c r="M5" s="17" t="s">
        <v>64</v>
      </c>
      <c r="N5" s="17" t="s">
        <v>65</v>
      </c>
    </row>
    <row r="6" spans="2:14" ht="15" customHeight="1">
      <c r="B6" s="23" t="s">
        <v>141</v>
      </c>
      <c r="C6" s="22">
        <f>PL_損益_Y1!C13</f>
        <v>316500</v>
      </c>
      <c r="D6" s="22">
        <f>PL_損益_Y1!D13</f>
        <v>316500</v>
      </c>
      <c r="E6" s="22">
        <f>PL_損益_Y1!E13</f>
        <v>316500</v>
      </c>
      <c r="F6" s="22">
        <f>PL_損益_Y1!F13</f>
        <v>316500</v>
      </c>
      <c r="G6" s="22">
        <f>PL_損益_Y1!G13</f>
        <v>966500</v>
      </c>
      <c r="H6" s="22">
        <f>PL_損益_Y1!H13</f>
        <v>966500</v>
      </c>
      <c r="I6" s="22">
        <f>PL_損益_Y1!I13</f>
        <v>966500</v>
      </c>
      <c r="J6" s="22">
        <f>PL_損益_Y1!J13</f>
        <v>1266500</v>
      </c>
      <c r="K6" s="22">
        <f>PL_損益_Y1!K13</f>
        <v>1716500</v>
      </c>
      <c r="L6" s="22">
        <f>PL_損益_Y1!L13</f>
        <v>2086500</v>
      </c>
      <c r="M6" s="22">
        <f>PL_損益_Y1!M13</f>
        <v>1786500</v>
      </c>
      <c r="N6" s="22">
        <f>PL_損益_Y1!N13</f>
        <v>2086500</v>
      </c>
    </row>
    <row r="7" spans="2:14" ht="15" customHeight="1">
      <c r="B7" s="38" t="s">
        <v>142</v>
      </c>
      <c r="C7" s="21">
        <f>前提!$C$6+C6</f>
        <v>2316500</v>
      </c>
      <c r="D7" s="21">
        <f t="shared" ref="D7:N7" si="0">C7+D6</f>
        <v>2633000</v>
      </c>
      <c r="E7" s="21">
        <f t="shared" si="0"/>
        <v>2949500</v>
      </c>
      <c r="F7" s="21">
        <f t="shared" si="0"/>
        <v>3266000</v>
      </c>
      <c r="G7" s="21">
        <f t="shared" si="0"/>
        <v>4232500</v>
      </c>
      <c r="H7" s="21">
        <f t="shared" si="0"/>
        <v>5199000</v>
      </c>
      <c r="I7" s="21">
        <f t="shared" si="0"/>
        <v>6165500</v>
      </c>
      <c r="J7" s="21">
        <f t="shared" si="0"/>
        <v>7432000</v>
      </c>
      <c r="K7" s="21">
        <f t="shared" si="0"/>
        <v>9148500</v>
      </c>
      <c r="L7" s="21">
        <f t="shared" si="0"/>
        <v>11235000</v>
      </c>
      <c r="M7" s="21">
        <f t="shared" si="0"/>
        <v>13021500</v>
      </c>
      <c r="N7" s="21">
        <f t="shared" si="0"/>
        <v>15108000</v>
      </c>
    </row>
    <row r="9" spans="2:14" ht="15" customHeight="1">
      <c r="B9" s="4" t="s">
        <v>143</v>
      </c>
      <c r="C9" s="43">
        <f>PL_損益_Y1!$O$19/12*1</f>
        <v>336875</v>
      </c>
      <c r="D9" s="43">
        <f>PL_損益_Y1!$O$19/12*2</f>
        <v>673750</v>
      </c>
      <c r="E9" s="43">
        <f>PL_損益_Y1!$O$19/12*3</f>
        <v>1010625</v>
      </c>
      <c r="F9" s="43">
        <f>PL_損益_Y1!$O$19/12*4</f>
        <v>1347500</v>
      </c>
      <c r="G9" s="43">
        <f>PL_損益_Y1!$O$19/12*5</f>
        <v>1684375</v>
      </c>
      <c r="H9" s="43">
        <f>PL_損益_Y1!$O$19/12*6</f>
        <v>2021250</v>
      </c>
      <c r="I9" s="43">
        <f>PL_損益_Y1!$O$19/12*7</f>
        <v>2358125</v>
      </c>
      <c r="J9" s="43">
        <f>PL_損益_Y1!$O$19/12*8</f>
        <v>2695000</v>
      </c>
      <c r="K9" s="43">
        <f>PL_損益_Y1!$O$19/12*9</f>
        <v>3031875</v>
      </c>
      <c r="L9" s="43">
        <f>PL_損益_Y1!$O$19/12*10</f>
        <v>3368750</v>
      </c>
      <c r="M9" s="43">
        <f>PL_損益_Y1!$O$19/12*11</f>
        <v>3705625</v>
      </c>
      <c r="N9" s="43">
        <f>PL_損益_Y1!$O$19/12*12</f>
        <v>4042500</v>
      </c>
    </row>
    <row r="10" spans="2:14" ht="15" customHeight="1">
      <c r="B10" s="44" t="s">
        <v>144</v>
      </c>
      <c r="C10" s="45">
        <f t="shared" ref="C10:N10" si="1">C7-C9</f>
        <v>1979625</v>
      </c>
      <c r="D10" s="45">
        <f t="shared" si="1"/>
        <v>1959250</v>
      </c>
      <c r="E10" s="45">
        <f t="shared" si="1"/>
        <v>1938875</v>
      </c>
      <c r="F10" s="45">
        <f t="shared" si="1"/>
        <v>1918500</v>
      </c>
      <c r="G10" s="45">
        <f t="shared" si="1"/>
        <v>2548125</v>
      </c>
      <c r="H10" s="45">
        <f t="shared" si="1"/>
        <v>3177750</v>
      </c>
      <c r="I10" s="45">
        <f t="shared" si="1"/>
        <v>3807375</v>
      </c>
      <c r="J10" s="45">
        <f t="shared" si="1"/>
        <v>4737000</v>
      </c>
      <c r="K10" s="45">
        <f t="shared" si="1"/>
        <v>6116625</v>
      </c>
      <c r="L10" s="45">
        <f t="shared" si="1"/>
        <v>7866250</v>
      </c>
      <c r="M10" s="45">
        <f t="shared" si="1"/>
        <v>9315875</v>
      </c>
      <c r="N10" s="45">
        <f t="shared" si="1"/>
        <v>11065500</v>
      </c>
    </row>
    <row r="12" spans="2:14" ht="15" customHeight="1">
      <c r="B12" s="25" t="s">
        <v>145</v>
      </c>
      <c r="C12" s="46">
        <f>N7</f>
        <v>15108000</v>
      </c>
    </row>
    <row r="13" spans="2:14" ht="15" customHeight="1">
      <c r="B13" s="25" t="s">
        <v>146</v>
      </c>
      <c r="C13" s="28">
        <f>N10</f>
        <v>11065500</v>
      </c>
    </row>
    <row r="14" spans="2:14" ht="15" customHeight="1">
      <c r="B14" s="25" t="s">
        <v>147</v>
      </c>
      <c r="C14" s="28">
        <f>MIN(C10:N10)</f>
        <v>1918500</v>
      </c>
      <c r="D14" s="2" t="s">
        <v>148</v>
      </c>
    </row>
  </sheetData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16"/>
  <sheetViews>
    <sheetView showGridLines="0" zoomScaleNormal="100" workbookViewId="0"/>
  </sheetViews>
  <sheetFormatPr defaultColWidth="8.6328125" defaultRowHeight="14.5"/>
  <cols>
    <col min="1" max="1" width="3" customWidth="1"/>
    <col min="2" max="2" width="30" customWidth="1"/>
    <col min="3" max="14" width="10" customWidth="1"/>
  </cols>
  <sheetData>
    <row r="2" spans="2:14" ht="21.75" customHeight="1">
      <c r="B2" s="16" t="s">
        <v>149</v>
      </c>
    </row>
    <row r="3" spans="2:14" ht="15" customHeight="1">
      <c r="B3" s="47" t="s">
        <v>150</v>
      </c>
    </row>
    <row r="5" spans="2:14" ht="15" customHeight="1">
      <c r="B5" s="11" t="s">
        <v>53</v>
      </c>
      <c r="C5" s="17" t="s">
        <v>54</v>
      </c>
      <c r="D5" s="17" t="s">
        <v>55</v>
      </c>
      <c r="E5" s="17" t="s">
        <v>56</v>
      </c>
      <c r="F5" s="17" t="s">
        <v>57</v>
      </c>
      <c r="G5" s="17" t="s">
        <v>58</v>
      </c>
      <c r="H5" s="17" t="s">
        <v>59</v>
      </c>
      <c r="I5" s="17" t="s">
        <v>60</v>
      </c>
      <c r="J5" s="17" t="s">
        <v>61</v>
      </c>
      <c r="K5" s="17" t="s">
        <v>62</v>
      </c>
      <c r="L5" s="17" t="s">
        <v>63</v>
      </c>
      <c r="M5" s="17" t="s">
        <v>64</v>
      </c>
      <c r="N5" s="17" t="s">
        <v>65</v>
      </c>
    </row>
    <row r="6" spans="2:14" ht="15" customHeight="1">
      <c r="B6" s="48" t="s">
        <v>151</v>
      </c>
      <c r="C6" s="49">
        <f>Year1_月次!C6+Year1_月次!C7</f>
        <v>1</v>
      </c>
      <c r="D6" s="49">
        <f>Year1_月次!D6+Year1_月次!D7</f>
        <v>1</v>
      </c>
      <c r="E6" s="49">
        <f>Year1_月次!E6+Year1_月次!E7</f>
        <v>1</v>
      </c>
      <c r="F6" s="49">
        <f>Year1_月次!F6+Year1_月次!F7</f>
        <v>1</v>
      </c>
      <c r="G6" s="49">
        <f>Year1_月次!G6+Year1_月次!G7</f>
        <v>0</v>
      </c>
      <c r="H6" s="49">
        <f>Year1_月次!H6+Year1_月次!H7</f>
        <v>0</v>
      </c>
      <c r="I6" s="49">
        <f>Year1_月次!I6+Year1_月次!I7</f>
        <v>0</v>
      </c>
      <c r="J6" s="49">
        <f>Year1_月次!J6+Year1_月次!J7</f>
        <v>1</v>
      </c>
      <c r="K6" s="49">
        <f>Year1_月次!K6+Year1_月次!K7</f>
        <v>0</v>
      </c>
      <c r="L6" s="49">
        <f>Year1_月次!L6+Year1_月次!L7</f>
        <v>1</v>
      </c>
      <c r="M6" s="49">
        <f>Year1_月次!M6+Year1_月次!M7</f>
        <v>0</v>
      </c>
      <c r="N6" s="49">
        <f>Year1_月次!N6+Year1_月次!N7</f>
        <v>1</v>
      </c>
    </row>
    <row r="7" spans="2:14" ht="15" customHeight="1">
      <c r="B7" s="12" t="s">
        <v>152</v>
      </c>
      <c r="C7" s="50">
        <f>C6/前提!$C$31</f>
        <v>2.8571428571428572</v>
      </c>
      <c r="D7" s="50">
        <f>D6/前提!$C$31</f>
        <v>2.8571428571428572</v>
      </c>
      <c r="E7" s="50">
        <f>E6/前提!$C$31</f>
        <v>2.8571428571428572</v>
      </c>
      <c r="F7" s="50">
        <f>F6/前提!$C$31</f>
        <v>2.8571428571428572</v>
      </c>
      <c r="G7" s="50">
        <f>G6/前提!$C$31</f>
        <v>0</v>
      </c>
      <c r="H7" s="50">
        <f>H6/前提!$C$31</f>
        <v>0</v>
      </c>
      <c r="I7" s="50">
        <f>I6/前提!$C$31</f>
        <v>0</v>
      </c>
      <c r="J7" s="50">
        <f>J6/前提!$C$31</f>
        <v>2.8571428571428572</v>
      </c>
      <c r="K7" s="50">
        <f>K6/前提!$C$31</f>
        <v>0</v>
      </c>
      <c r="L7" s="50">
        <f>L6/前提!$C$31</f>
        <v>2.8571428571428572</v>
      </c>
      <c r="M7" s="50">
        <f>M6/前提!$C$31</f>
        <v>0</v>
      </c>
      <c r="N7" s="50">
        <f>N6/前提!$C$31</f>
        <v>2.8571428571428572</v>
      </c>
    </row>
    <row r="8" spans="2:14" ht="15" customHeight="1">
      <c r="B8" s="51" t="s">
        <v>153</v>
      </c>
      <c r="C8" s="52">
        <f>C7/(前提!$C$29*前提!$C$30)</f>
        <v>0.95238095238095244</v>
      </c>
      <c r="D8" s="52">
        <f>D7/(前提!$C$29*前提!$C$30)</f>
        <v>0.95238095238095244</v>
      </c>
      <c r="E8" s="52">
        <f>E7/(前提!$C$29*前提!$C$30)</f>
        <v>0.95238095238095244</v>
      </c>
      <c r="F8" s="52">
        <f>F7/(前提!$C$29*前提!$C$30)</f>
        <v>0.95238095238095244</v>
      </c>
      <c r="G8" s="52">
        <f>G7/(前提!$C$29*前提!$C$30)</f>
        <v>0</v>
      </c>
      <c r="H8" s="52">
        <f>H7/(前提!$C$29*前提!$C$30)</f>
        <v>0</v>
      </c>
      <c r="I8" s="52">
        <f>I7/(前提!$C$29*前提!$C$30)</f>
        <v>0</v>
      </c>
      <c r="J8" s="52">
        <f>J7/(前提!$C$29*前提!$C$30)</f>
        <v>0.95238095238095244</v>
      </c>
      <c r="K8" s="52">
        <f>K7/(前提!$C$29*前提!$C$30)</f>
        <v>0</v>
      </c>
      <c r="L8" s="52">
        <f>L7/(前提!$C$29*前提!$C$30)</f>
        <v>0.95238095238095244</v>
      </c>
      <c r="M8" s="52">
        <f>M7/(前提!$C$29*前提!$C$30)</f>
        <v>0</v>
      </c>
      <c r="N8" s="52">
        <f>N7/(前提!$C$29*前提!$C$30)</f>
        <v>0.95238095238095244</v>
      </c>
    </row>
    <row r="10" spans="2:14" ht="15" customHeight="1">
      <c r="B10" s="53" t="s">
        <v>154</v>
      </c>
      <c r="C10" s="52">
        <f>C8*前提!$C$33</f>
        <v>9.5238095238095237</v>
      </c>
      <c r="D10" s="52">
        <f>D8*前提!$C$33</f>
        <v>9.5238095238095237</v>
      </c>
      <c r="E10" s="52">
        <f>E8*前提!$C$33</f>
        <v>9.5238095238095237</v>
      </c>
      <c r="F10" s="52">
        <f>F8*前提!$C$33</f>
        <v>9.5238095238095237</v>
      </c>
      <c r="G10" s="52">
        <f>G8*前提!$C$33</f>
        <v>0</v>
      </c>
      <c r="H10" s="52">
        <f>H8*前提!$C$33</f>
        <v>0</v>
      </c>
      <c r="I10" s="52">
        <f>I8*前提!$C$33</f>
        <v>0</v>
      </c>
      <c r="J10" s="52">
        <f>J8*前提!$C$33</f>
        <v>9.5238095238095237</v>
      </c>
      <c r="K10" s="52">
        <f>K8*前提!$C$33</f>
        <v>0</v>
      </c>
      <c r="L10" s="52">
        <f>L8*前提!$C$33</f>
        <v>9.5238095238095237</v>
      </c>
      <c r="M10" s="52">
        <f>M8*前提!$C$33</f>
        <v>0</v>
      </c>
      <c r="N10" s="52">
        <f>N8*前提!$C$33</f>
        <v>9.5238095238095237</v>
      </c>
    </row>
    <row r="11" spans="2:14" ht="15" customHeight="1">
      <c r="B11" s="12" t="s">
        <v>155</v>
      </c>
      <c r="C11" s="50">
        <f>C6*前提!$C$32</f>
        <v>0.5</v>
      </c>
      <c r="D11" s="50">
        <f>D6*前提!$C$32</f>
        <v>0.5</v>
      </c>
      <c r="E11" s="50">
        <f>E6*前提!$C$32</f>
        <v>0.5</v>
      </c>
      <c r="F11" s="50">
        <f>F6*前提!$C$32</f>
        <v>0.5</v>
      </c>
      <c r="G11" s="50">
        <f>G6*前提!$C$32</f>
        <v>0</v>
      </c>
      <c r="H11" s="50">
        <f>H6*前提!$C$32</f>
        <v>0</v>
      </c>
      <c r="I11" s="50">
        <f>I6*前提!$C$32</f>
        <v>0</v>
      </c>
      <c r="J11" s="50">
        <f>J6*前提!$C$32</f>
        <v>0.5</v>
      </c>
      <c r="K11" s="50">
        <f>K6*前提!$C$32</f>
        <v>0</v>
      </c>
      <c r="L11" s="50">
        <f>L6*前提!$C$32</f>
        <v>0.5</v>
      </c>
      <c r="M11" s="50">
        <f>M6*前提!$C$32</f>
        <v>0</v>
      </c>
      <c r="N11" s="50">
        <f>N6*前提!$C$32</f>
        <v>0.5</v>
      </c>
    </row>
    <row r="13" spans="2:14" ht="15" customHeight="1">
      <c r="B13" s="54" t="s">
        <v>156</v>
      </c>
      <c r="C13" s="55">
        <f>SUM(C8:N8)</f>
        <v>6.666666666666667</v>
      </c>
    </row>
    <row r="14" spans="2:14" ht="15" customHeight="1">
      <c r="B14" s="54" t="s">
        <v>157</v>
      </c>
      <c r="C14" s="56">
        <f>AVERAGE(C10:N10)</f>
        <v>5.5555555555555562</v>
      </c>
      <c r="D14" s="47" t="s">
        <v>158</v>
      </c>
    </row>
    <row r="16" spans="2:14">
      <c r="B16" t="s">
        <v>159</v>
      </c>
    </row>
  </sheetData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17"/>
  <sheetViews>
    <sheetView showGridLines="0" zoomScaleNormal="100" workbookViewId="0"/>
  </sheetViews>
  <sheetFormatPr defaultColWidth="8.6328125" defaultRowHeight="14.5"/>
  <cols>
    <col min="1" max="1" width="3" customWidth="1"/>
    <col min="2" max="2" width="34" customWidth="1"/>
    <col min="3" max="3" width="16" customWidth="1"/>
    <col min="4" max="4" width="46" customWidth="1"/>
  </cols>
  <sheetData>
    <row r="2" spans="2:4" ht="21.75" customHeight="1">
      <c r="B2" s="57" t="s">
        <v>160</v>
      </c>
    </row>
    <row r="3" spans="2:4" ht="15" customHeight="1">
      <c r="B3" s="47" t="s">
        <v>161</v>
      </c>
    </row>
    <row r="5" spans="2:4" ht="15" customHeight="1">
      <c r="B5" s="12" t="s">
        <v>47</v>
      </c>
      <c r="C5" s="58">
        <f>前提!$C$35</f>
        <v>2000000</v>
      </c>
      <c r="D5" s="59"/>
    </row>
    <row r="6" spans="2:4" ht="15" customHeight="1">
      <c r="B6" s="12" t="s">
        <v>49</v>
      </c>
      <c r="C6" s="58">
        <f>前提!$C$36</f>
        <v>500000</v>
      </c>
      <c r="D6" s="59"/>
    </row>
    <row r="7" spans="2:4" ht="15" customHeight="1">
      <c r="B7" s="12" t="s">
        <v>162</v>
      </c>
      <c r="C7" s="58">
        <f>前提!$C$20</f>
        <v>70000</v>
      </c>
      <c r="D7" s="60" t="s">
        <v>163</v>
      </c>
    </row>
    <row r="8" spans="2:4" ht="15" customHeight="1">
      <c r="B8" s="61" t="s">
        <v>164</v>
      </c>
      <c r="C8" s="41">
        <f>C6-C7</f>
        <v>430000</v>
      </c>
      <c r="D8" s="60" t="s">
        <v>165</v>
      </c>
    </row>
    <row r="9" spans="2:4" ht="15" customHeight="1">
      <c r="B9" s="61" t="s">
        <v>166</v>
      </c>
      <c r="C9" s="62">
        <f>IF(C8&lt;=0,999,C5/C8)</f>
        <v>4.6511627906976747</v>
      </c>
      <c r="D9" s="60" t="s">
        <v>167</v>
      </c>
    </row>
    <row r="11" spans="2:4" ht="15" customHeight="1">
      <c r="B11" s="54" t="s">
        <v>168</v>
      </c>
    </row>
    <row r="12" spans="2:4" ht="44" customHeight="1">
      <c r="B12" s="63" t="s">
        <v>169</v>
      </c>
    </row>
    <row r="13" spans="2:4" ht="29.9" customHeight="1">
      <c r="B13" s="63" t="s">
        <v>170</v>
      </c>
    </row>
    <row r="14" spans="2:4" ht="44" customHeight="1">
      <c r="B14" s="63" t="s">
        <v>171</v>
      </c>
    </row>
    <row r="15" spans="2:4" ht="44" customHeight="1">
      <c r="B15" s="63" t="s">
        <v>172</v>
      </c>
    </row>
    <row r="16" spans="2:4" ht="44" customHeight="1">
      <c r="B16" s="63" t="s">
        <v>173</v>
      </c>
    </row>
    <row r="17" spans="2:2" ht="44" customHeight="1">
      <c r="B17" s="63" t="s">
        <v>174</v>
      </c>
    </row>
  </sheetData>
  <phoneticPr fontId="25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14"/>
  <sheetViews>
    <sheetView workbookViewId="0"/>
  </sheetViews>
  <sheetFormatPr defaultRowHeight="14.5"/>
  <cols>
    <col min="2" max="2" width="34" customWidth="1"/>
    <col min="3" max="5" width="14" customWidth="1"/>
  </cols>
  <sheetData>
    <row r="2" spans="2:5" ht="15.5">
      <c r="B2" s="65" t="s">
        <v>175</v>
      </c>
    </row>
    <row r="3" spans="2:5">
      <c r="B3" t="s">
        <v>176</v>
      </c>
    </row>
    <row r="5" spans="2:5">
      <c r="B5" s="66" t="s">
        <v>53</v>
      </c>
      <c r="C5" s="66" t="s">
        <v>177</v>
      </c>
      <c r="D5" s="66" t="s">
        <v>178</v>
      </c>
      <c r="E5" s="66" t="s">
        <v>179</v>
      </c>
    </row>
    <row r="6" spans="2:5">
      <c r="B6" t="s">
        <v>125</v>
      </c>
      <c r="C6" s="67">
        <f>PL_損益_Y1!O6</f>
        <v>15310000</v>
      </c>
      <c r="D6" s="67">
        <f>'3年_四半期'!D22</f>
        <v>28140000</v>
      </c>
      <c r="E6" s="67">
        <f>'3年_四半期'!E22</f>
        <v>30300000</v>
      </c>
    </row>
    <row r="7" spans="2:5">
      <c r="B7" t="s">
        <v>180</v>
      </c>
      <c r="C7" s="67">
        <f>PL_損益_Y1!O11</f>
        <v>2202000</v>
      </c>
      <c r="D7" s="67">
        <f>前提!C7*12</f>
        <v>2202000</v>
      </c>
      <c r="E7" s="67">
        <f>前提!C7*12</f>
        <v>2202000</v>
      </c>
    </row>
    <row r="8" spans="2:5">
      <c r="B8" s="66" t="s">
        <v>130</v>
      </c>
      <c r="C8" s="68">
        <f>C6-C7</f>
        <v>13108000</v>
      </c>
      <c r="D8" s="68">
        <f>D6-D7</f>
        <v>25938000</v>
      </c>
      <c r="E8" s="68">
        <f>E6-E7</f>
        <v>28098000</v>
      </c>
    </row>
    <row r="9" spans="2:5">
      <c r="B9" t="s">
        <v>132</v>
      </c>
      <c r="C9" s="67">
        <f>C6*前提!C24*(1-前提!C23)</f>
        <v>765500</v>
      </c>
      <c r="D9" s="67">
        <f>D6*前提!C24*(1-前提!C23)</f>
        <v>1407000</v>
      </c>
      <c r="E9" s="67">
        <f>E6*前提!C24*(1-前提!C23)</f>
        <v>1515000</v>
      </c>
    </row>
    <row r="10" spans="2:5">
      <c r="B10" t="s">
        <v>134</v>
      </c>
      <c r="C10" s="67">
        <f>MAX(前提!C26,C8*前提!C25)</f>
        <v>3277000</v>
      </c>
      <c r="D10" s="67">
        <f>MAX(前提!C26,D8*前提!C25)</f>
        <v>6484500</v>
      </c>
      <c r="E10" s="67">
        <f>MAX(前提!C26,E8*前提!C25)</f>
        <v>7024500</v>
      </c>
    </row>
    <row r="11" spans="2:5">
      <c r="B11" s="66" t="s">
        <v>136</v>
      </c>
      <c r="C11" s="68">
        <f>C8-C10</f>
        <v>9831000</v>
      </c>
      <c r="D11" s="68">
        <f>D8-D10</f>
        <v>19453500</v>
      </c>
      <c r="E11" s="68">
        <f>E8-E10</f>
        <v>21073500</v>
      </c>
    </row>
    <row r="12" spans="2:5">
      <c r="B12" t="s">
        <v>181</v>
      </c>
      <c r="C12" s="67">
        <f>C9+C10</f>
        <v>4042500</v>
      </c>
      <c r="D12" s="67">
        <f>D9+D10</f>
        <v>7891500</v>
      </c>
      <c r="E12" s="67">
        <f>E9+E10</f>
        <v>8539500</v>
      </c>
    </row>
    <row r="14" spans="2:5">
      <c r="B14" t="s">
        <v>182</v>
      </c>
    </row>
  </sheetData>
  <phoneticPr fontId="25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D28"/>
  <sheetViews>
    <sheetView workbookViewId="0"/>
  </sheetViews>
  <sheetFormatPr defaultRowHeight="14.5"/>
  <cols>
    <col min="2" max="2" width="34" customWidth="1"/>
    <col min="3" max="3" width="14" customWidth="1"/>
    <col min="4" max="4" width="40" customWidth="1"/>
  </cols>
  <sheetData>
    <row r="2" spans="2:4" ht="15.5">
      <c r="B2" s="65" t="s">
        <v>183</v>
      </c>
    </row>
    <row r="3" spans="2:4">
      <c r="B3" t="s">
        <v>184</v>
      </c>
    </row>
    <row r="5" spans="2:4">
      <c r="B5" s="66" t="s">
        <v>185</v>
      </c>
    </row>
    <row r="6" spans="2:4">
      <c r="B6" t="s">
        <v>186</v>
      </c>
      <c r="C6" s="69">
        <v>1000000</v>
      </c>
      <c r="D6" t="s">
        <v>187</v>
      </c>
    </row>
    <row r="8" spans="2:4">
      <c r="B8" s="66" t="s">
        <v>188</v>
      </c>
    </row>
    <row r="9" spans="2:4">
      <c r="B9" t="s">
        <v>189</v>
      </c>
      <c r="C9" s="67">
        <f>CF_現金_Y1!N7</f>
        <v>15108000</v>
      </c>
    </row>
    <row r="10" spans="2:4">
      <c r="B10" t="s">
        <v>190</v>
      </c>
      <c r="C10" s="69">
        <v>0</v>
      </c>
      <c r="D10" t="s">
        <v>191</v>
      </c>
    </row>
    <row r="11" spans="2:4">
      <c r="B11" t="s">
        <v>192</v>
      </c>
      <c r="C11" s="68">
        <f>C9+C10</f>
        <v>15108000</v>
      </c>
    </row>
    <row r="13" spans="2:4">
      <c r="B13" s="66" t="s">
        <v>193</v>
      </c>
    </row>
    <row r="14" spans="2:4">
      <c r="B14" t="s">
        <v>194</v>
      </c>
      <c r="C14" s="67">
        <f>前提!C6-C6</f>
        <v>1000000</v>
      </c>
      <c r="D14" t="s">
        <v>195</v>
      </c>
    </row>
    <row r="15" spans="2:4">
      <c r="B15" t="s">
        <v>196</v>
      </c>
      <c r="C15" s="67">
        <f>PL_損益_Y1!O17</f>
        <v>3277000</v>
      </c>
    </row>
    <row r="16" spans="2:4">
      <c r="B16" t="s">
        <v>197</v>
      </c>
      <c r="C16" s="68">
        <f>C14+C15</f>
        <v>4277000</v>
      </c>
    </row>
    <row r="18" spans="2:4">
      <c r="B18" s="66" t="s">
        <v>198</v>
      </c>
    </row>
    <row r="19" spans="2:4">
      <c r="B19" t="s">
        <v>199</v>
      </c>
      <c r="C19" s="67">
        <f>C6</f>
        <v>1000000</v>
      </c>
    </row>
    <row r="20" spans="2:4">
      <c r="B20" t="s">
        <v>200</v>
      </c>
      <c r="C20" s="67">
        <f>PL_損益_Y1!O18</f>
        <v>9831000</v>
      </c>
    </row>
    <row r="21" spans="2:4">
      <c r="B21" t="s">
        <v>201</v>
      </c>
      <c r="C21" s="68">
        <f>C19+C20</f>
        <v>10831000</v>
      </c>
    </row>
    <row r="23" spans="2:4">
      <c r="B23" t="s">
        <v>202</v>
      </c>
      <c r="C23" s="68">
        <f>C16+C21</f>
        <v>15108000</v>
      </c>
    </row>
    <row r="24" spans="2:4">
      <c r="B24" t="s">
        <v>203</v>
      </c>
      <c r="C24" s="68">
        <f>C11-C23</f>
        <v>0</v>
      </c>
      <c r="D24" t="s">
        <v>204</v>
      </c>
    </row>
    <row r="26" spans="2:4">
      <c r="B26" t="s">
        <v>205</v>
      </c>
      <c r="C26" s="67">
        <f>PL_損益_Y1!O16</f>
        <v>765500</v>
      </c>
    </row>
    <row r="28" spans="2:4">
      <c r="B28" t="s">
        <v>206</v>
      </c>
    </row>
  </sheetData>
  <phoneticPr fontId="25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D18"/>
  <sheetViews>
    <sheetView tabSelected="1" workbookViewId="0"/>
  </sheetViews>
  <sheetFormatPr defaultRowHeight="14.5"/>
  <cols>
    <col min="2" max="2" width="30" customWidth="1"/>
    <col min="3" max="4" width="16" customWidth="1"/>
    <col min="5" max="5" width="6" customWidth="1"/>
  </cols>
  <sheetData>
    <row r="2" spans="2:4" ht="15.5">
      <c r="B2" s="65" t="s">
        <v>207</v>
      </c>
    </row>
    <row r="3" spans="2:4">
      <c r="B3" t="s">
        <v>208</v>
      </c>
    </row>
    <row r="5" spans="2:4">
      <c r="B5" t="s">
        <v>209</v>
      </c>
      <c r="C5" s="67">
        <f>前提!C13</f>
        <v>750000</v>
      </c>
    </row>
    <row r="6" spans="2:4">
      <c r="B6" t="s">
        <v>210</v>
      </c>
      <c r="C6" s="69">
        <v>500000</v>
      </c>
    </row>
    <row r="7" spans="2:4">
      <c r="B7" t="s">
        <v>211</v>
      </c>
      <c r="C7" s="67">
        <f>SUM(Year1_月次!C8:N8)</f>
        <v>12</v>
      </c>
      <c r="D7" t="s">
        <v>212</v>
      </c>
    </row>
    <row r="8" spans="2:4">
      <c r="B8" t="s">
        <v>213</v>
      </c>
      <c r="C8" s="67">
        <f>C7*(C6-C5)</f>
        <v>-3000000</v>
      </c>
    </row>
    <row r="10" spans="2:4">
      <c r="B10" s="66" t="s">
        <v>53</v>
      </c>
      <c r="C10" s="66" t="s">
        <v>214</v>
      </c>
      <c r="D10" s="66" t="s">
        <v>215</v>
      </c>
    </row>
    <row r="11" spans="2:4">
      <c r="B11" t="s">
        <v>103</v>
      </c>
      <c r="C11" s="67">
        <f>PL_損益_Y1!O6</f>
        <v>15310000</v>
      </c>
      <c r="D11" s="67">
        <f>C11+C8</f>
        <v>12310000</v>
      </c>
    </row>
    <row r="12" spans="2:4">
      <c r="B12" t="s">
        <v>130</v>
      </c>
      <c r="C12" s="67">
        <f>PL_損益_Y1!O13</f>
        <v>13108000</v>
      </c>
      <c r="D12" s="67">
        <f>C12+C8</f>
        <v>10108000</v>
      </c>
    </row>
    <row r="13" spans="2:4">
      <c r="B13" t="s">
        <v>134</v>
      </c>
      <c r="C13" s="67">
        <f>MAX(前提!C26,C12*前提!C25)</f>
        <v>3277000</v>
      </c>
      <c r="D13" s="67">
        <f>MAX(前提!C26,D12*前提!C25)</f>
        <v>2527000</v>
      </c>
    </row>
    <row r="14" spans="2:4">
      <c r="B14" t="s">
        <v>136</v>
      </c>
      <c r="C14" s="67">
        <f>C12-C13</f>
        <v>9831000</v>
      </c>
      <c r="D14" s="67">
        <f>D12-D13</f>
        <v>7581000</v>
      </c>
    </row>
    <row r="15" spans="2:4">
      <c r="B15" t="s">
        <v>216</v>
      </c>
      <c r="C15" s="67">
        <f>C11*前提!C24*(1-前提!C23)</f>
        <v>765500</v>
      </c>
      <c r="D15" s="67">
        <f>D11*前提!C24*(1-前提!C23)</f>
        <v>615500</v>
      </c>
    </row>
    <row r="16" spans="2:4">
      <c r="B16" s="66" t="s">
        <v>217</v>
      </c>
      <c r="C16" s="68">
        <f>前提!C6+C12</f>
        <v>15108000</v>
      </c>
      <c r="D16" s="68">
        <f>前提!C6+D12</f>
        <v>12108000</v>
      </c>
    </row>
    <row r="18" spans="2:2">
      <c r="B18" t="s">
        <v>218</v>
      </c>
    </row>
  </sheetData>
  <phoneticPr fontId="2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前提</vt:lpstr>
      <vt:lpstr>Year1_月次</vt:lpstr>
      <vt:lpstr>3年_四半期</vt:lpstr>
      <vt:lpstr>読み方</vt:lpstr>
      <vt:lpstr>PL_損益_Y1</vt:lpstr>
      <vt:lpstr>CF_現金_Y1</vt:lpstr>
      <vt:lpstr>営業ファネル_Y1</vt:lpstr>
      <vt:lpstr>個人サバイバル</vt:lpstr>
      <vt:lpstr>PL_3年</vt:lpstr>
      <vt:lpstr>BS_Y1末</vt:lpstr>
      <vt:lpstr>感度_伴走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Yuki Ishida</cp:lastModifiedBy>
  <cp:revision>0</cp:revision>
  <dcterms:created xsi:type="dcterms:W3CDTF">2026-06-16T15:24:48Z</dcterms:created>
  <dcterms:modified xsi:type="dcterms:W3CDTF">2026-06-21T10:29:48Z</dcterms:modified>
  <dc:language>en-US</dc:language>
</cp:coreProperties>
</file>